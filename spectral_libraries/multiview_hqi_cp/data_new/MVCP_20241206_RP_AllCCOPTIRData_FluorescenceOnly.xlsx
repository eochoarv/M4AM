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University of Michigan Dropbox\LSA-M4AM-Project\MVCP - Multivariate Conformal Prediction\"/>
    </mc:Choice>
  </mc:AlternateContent>
  <xr:revisionPtr revIDLastSave="0" documentId="13_ncr:1_{FD337A17-48FA-4947-8840-1BE82215E3F7}" xr6:coauthVersionLast="47" xr6:coauthVersionMax="47" xr10:uidLastSave="{00000000-0000-0000-0000-000000000000}"/>
  <bookViews>
    <workbookView xWindow="-120" yWindow="-120" windowWidth="29040" windowHeight="15720" activeTab="1" xr2:uid="{D5E67EB1-0353-4D7C-BDA3-F733A4513B96}"/>
  </bookViews>
  <sheets>
    <sheet name="MPs Only" sheetId="4" r:id="rId1"/>
    <sheet name="MPs + Standards" sheetId="5" r:id="rId2"/>
    <sheet name="MPs + Ambient" sheetId="6" r:id="rId3"/>
    <sheet name="All Sample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6" l="1"/>
  <c r="S8" i="6"/>
  <c r="R8" i="6"/>
  <c r="T7" i="6"/>
  <c r="S7" i="6"/>
  <c r="R7" i="6"/>
  <c r="T6" i="6"/>
  <c r="S6" i="6"/>
  <c r="R6" i="6"/>
  <c r="T5" i="6"/>
  <c r="S5" i="6"/>
  <c r="R5" i="6"/>
  <c r="T4" i="6"/>
  <c r="S4" i="6"/>
  <c r="R4" i="6"/>
  <c r="T3" i="6"/>
  <c r="S3" i="6"/>
  <c r="R3" i="6"/>
  <c r="T2" i="6"/>
  <c r="S2" i="6"/>
  <c r="R2" i="6"/>
  <c r="T7" i="7"/>
  <c r="S7" i="7"/>
  <c r="R7" i="7"/>
  <c r="T6" i="7"/>
  <c r="S6" i="7"/>
  <c r="R6" i="7"/>
  <c r="T5" i="7"/>
  <c r="S5" i="7"/>
  <c r="R5" i="7"/>
  <c r="T4" i="7"/>
  <c r="S4" i="7"/>
  <c r="R4" i="7"/>
  <c r="T3" i="7"/>
  <c r="S3" i="7"/>
  <c r="R3" i="7"/>
  <c r="T2" i="7"/>
  <c r="S2" i="7"/>
  <c r="R2" i="7"/>
  <c r="U10" i="5"/>
  <c r="T10" i="5"/>
  <c r="S10" i="5"/>
  <c r="U9" i="5"/>
  <c r="T9" i="5"/>
  <c r="S9" i="5"/>
  <c r="U8" i="5"/>
  <c r="T8" i="5"/>
  <c r="S8" i="5"/>
  <c r="U7" i="5"/>
  <c r="T7" i="5"/>
  <c r="S7" i="5"/>
  <c r="U6" i="5"/>
  <c r="T6" i="5"/>
  <c r="S6" i="5"/>
  <c r="U5" i="5"/>
  <c r="T5" i="5"/>
  <c r="S5" i="5"/>
  <c r="U4" i="5"/>
  <c r="T4" i="5"/>
  <c r="S4" i="5"/>
  <c r="U3" i="5"/>
  <c r="T3" i="5"/>
  <c r="S3" i="5"/>
  <c r="U2" i="5"/>
  <c r="T2" i="5"/>
  <c r="S2" i="5"/>
  <c r="T7" i="4"/>
  <c r="S7" i="4"/>
  <c r="R7" i="4"/>
  <c r="T6" i="4"/>
  <c r="S6" i="4"/>
  <c r="R6" i="4"/>
  <c r="T5" i="4"/>
  <c r="S5" i="4"/>
  <c r="R5" i="4"/>
  <c r="T4" i="4"/>
  <c r="S4" i="4"/>
  <c r="R4" i="4"/>
  <c r="T3" i="4"/>
  <c r="S3" i="4"/>
  <c r="R3" i="4"/>
  <c r="T2" i="4"/>
  <c r="S2" i="4"/>
  <c r="R2" i="4"/>
  <c r="T8" i="7" l="1"/>
  <c r="R8" i="7"/>
  <c r="S8" i="7"/>
  <c r="T9" i="6"/>
  <c r="R9" i="6"/>
  <c r="S9" i="6"/>
  <c r="S11" i="5"/>
  <c r="U11" i="5"/>
  <c r="T11" i="5"/>
  <c r="T8" i="4"/>
  <c r="S8" i="4"/>
  <c r="R8" i="4"/>
</calcChain>
</file>

<file path=xl/sharedStrings.xml><?xml version="1.0" encoding="utf-8"?>
<sst xmlns="http://schemas.openxmlformats.org/spreadsheetml/2006/main" count="1714" uniqueCount="74">
  <si>
    <t>Feature ID</t>
  </si>
  <si>
    <t>X (um)</t>
  </si>
  <si>
    <t>Y (um)</t>
  </si>
  <si>
    <t>Size (um)</t>
  </si>
  <si>
    <t>Area (umÂ²)</t>
  </si>
  <si>
    <t>Perimeter (um)</t>
  </si>
  <si>
    <t>Circularity</t>
  </si>
  <si>
    <t>CC run</t>
  </si>
  <si>
    <t>Overall ID</t>
  </si>
  <si>
    <t>Particle Type</t>
  </si>
  <si>
    <t>Manual PTIR Count</t>
  </si>
  <si>
    <t>Manual Raman Count</t>
  </si>
  <si>
    <t>Manual Overall Count</t>
  </si>
  <si>
    <t>LDPE</t>
  </si>
  <si>
    <t>PSL</t>
  </si>
  <si>
    <t>PP</t>
  </si>
  <si>
    <t>Total particles</t>
  </si>
  <si>
    <t>Manual PTIR</t>
  </si>
  <si>
    <t>Manual Raman</t>
  </si>
  <si>
    <t>Manual overall</t>
  </si>
  <si>
    <t>Notes</t>
  </si>
  <si>
    <t>UNSORTED</t>
  </si>
  <si>
    <t>MIXTURE</t>
  </si>
  <si>
    <t>LOW SIGNAL</t>
  </si>
  <si>
    <t>Type Abbr.</t>
  </si>
  <si>
    <t>MIX</t>
  </si>
  <si>
    <t>UNS</t>
  </si>
  <si>
    <t>LOW</t>
  </si>
  <si>
    <t>FLUORESCENCE</t>
  </si>
  <si>
    <t>PP AND PSL?</t>
  </si>
  <si>
    <t>AMBIENT</t>
  </si>
  <si>
    <t>AMB</t>
  </si>
  <si>
    <t>2 v2</t>
  </si>
  <si>
    <t>4 v3</t>
  </si>
  <si>
    <t>n/a</t>
  </si>
  <si>
    <t>PSL AND LDPE?</t>
  </si>
  <si>
    <t>PSL AND AMB?</t>
  </si>
  <si>
    <t>PSL AND AMB? FLUORESCENCE</t>
  </si>
  <si>
    <t>FLUORESCNE</t>
  </si>
  <si>
    <t>AMB AND LDPE? FLUORESCENCE</t>
  </si>
  <si>
    <t>PP AND AMB? FLUORESCENCE</t>
  </si>
  <si>
    <t>MAY BE PP?</t>
  </si>
  <si>
    <t>FLUORESCENCE, LDPE AND PSL?</t>
  </si>
  <si>
    <t>FLUORESCENCE, SOME RAMAN PEAKS SHOWING PSL</t>
  </si>
  <si>
    <t>ODD PEAKS IN RAMAN</t>
  </si>
  <si>
    <t>ODD PEAKS IN PTIR</t>
  </si>
  <si>
    <t>FLUORESCENCE, ODD PEAKS IN BOTH SPECTRA</t>
  </si>
  <si>
    <t>FLUORESCENCE, PSL?</t>
  </si>
  <si>
    <t>FLUORESCENCE, MIXTURE?</t>
  </si>
  <si>
    <t>PSL?</t>
  </si>
  <si>
    <t>FLUORESCENCE, PSL AND PP?</t>
  </si>
  <si>
    <t>FLUORESCENCE, ODD PEAKS IN RAMAN</t>
  </si>
  <si>
    <t>FLUORESCENCE, PSL AND LDPE?</t>
  </si>
  <si>
    <t>(NH4)2SO4</t>
  </si>
  <si>
    <t>AS</t>
  </si>
  <si>
    <t>NaNO3</t>
  </si>
  <si>
    <t>SN</t>
  </si>
  <si>
    <t>SUCROSE</t>
  </si>
  <si>
    <t>SCR</t>
  </si>
  <si>
    <t>FLUORESCENCE, LDPE?</t>
  </si>
  <si>
    <t>PEAKS UNIDENTIFIED, MIX?</t>
  </si>
  <si>
    <t>ODD PEAKS IN PTIR, FLUORESCENCE</t>
  </si>
  <si>
    <t>ODD PEAKS IN RAMAN, FLUORESCENCE</t>
  </si>
  <si>
    <t>ODD PEAKS, FLUORESCENCE</t>
  </si>
  <si>
    <t>ODD PEAKS IN RAMAN, PSL OR MIX?</t>
  </si>
  <si>
    <t>ODD PEAKS IN PTIR AND RAMAN</t>
  </si>
  <si>
    <t>LDPE AND PSL? Other?</t>
  </si>
  <si>
    <t>SOME ODD PEAKS IN RAMAN</t>
  </si>
  <si>
    <t>LDPE AND SOMETHING ELSE? PP AND AS?</t>
  </si>
  <si>
    <t>FLUORESCENCE, SN?</t>
  </si>
  <si>
    <t>NOT ENOUG IDENTIFIABLE PEAKS IN PTIR, ODD PEAKS IN RAMAN</t>
  </si>
  <si>
    <t>FLUORESCENCE, AS AND SCR?</t>
  </si>
  <si>
    <t>FLUORESCENCE, NOT ENOUGH IDENTIFIABLE PEAKS</t>
  </si>
  <si>
    <t>FLUORESCENCE, ODD PEAKS IN PTIR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</si>
</sst>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6" borderId="0" xfId="0" applyFont="1" applyFill="1"/>
    <xf numFmtId="0" fontId="0" fillId="7" borderId="0" xfId="0" applyFill="1"/>
    <xf numFmtId="0" fontId="0" fillId="7" borderId="0" xfId="0" applyFill="1" applyAlignment="1">
      <alignment wrapText="1"/>
    </xf>
    <xf numFmtId="0" fontId="3" fillId="8" borderId="0" xfId="0" applyFont="1" applyFill="1" applyAlignment="1">
      <alignment wrapText="1"/>
    </xf>
  </cellXfs>
  <cellStyles count="1">
    <cellStyle name="Normal" xfId="0" builtinId="0"/>
  </cellStyles>
  <dxfs count="12"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237-05E1-4736-B9CF-7E74309895CD}">
  <dimension ref="A1:T91"/>
  <sheetViews>
    <sheetView workbookViewId="0">
      <selection sqref="A1:M1"/>
    </sheetView>
  </sheetViews>
  <sheetFormatPr defaultRowHeight="15" x14ac:dyDescent="0.25"/>
  <cols>
    <col min="8" max="8" width="10.5703125" customWidth="1"/>
    <col min="9" max="9" width="10.7109375" customWidth="1"/>
    <col min="13" max="13" width="16.8554687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0" s="3" customFormat="1" ht="30" x14ac:dyDescent="0.25">
      <c r="A1" s="8" t="s">
        <v>8</v>
      </c>
      <c r="B1" s="8" t="s">
        <v>0</v>
      </c>
      <c r="C1" s="8" t="s">
        <v>7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17</v>
      </c>
      <c r="K1" s="8" t="s">
        <v>18</v>
      </c>
      <c r="L1" s="8" t="s">
        <v>19</v>
      </c>
      <c r="M1" s="8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0" x14ac:dyDescent="0.25">
      <c r="A2" s="7">
        <v>2</v>
      </c>
      <c r="B2" s="7">
        <v>2</v>
      </c>
      <c r="C2" s="7">
        <v>1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  <c r="I2" s="7" t="s">
        <v>34</v>
      </c>
      <c r="J2" s="7" t="s">
        <v>15</v>
      </c>
      <c r="K2" s="7" t="s">
        <v>15</v>
      </c>
      <c r="L2" s="7" t="s">
        <v>15</v>
      </c>
      <c r="M2" s="7"/>
      <c r="P2" t="s">
        <v>13</v>
      </c>
      <c r="Q2" t="s">
        <v>13</v>
      </c>
      <c r="R2">
        <f>COUNTIF(J:J,$Q2)</f>
        <v>22</v>
      </c>
      <c r="S2">
        <f>COUNTIF(K:K,$Q2)</f>
        <v>24</v>
      </c>
      <c r="T2">
        <f>COUNTIF(L:L,$Q2)</f>
        <v>26</v>
      </c>
    </row>
    <row r="3" spans="1:20" x14ac:dyDescent="0.25">
      <c r="A3" s="7">
        <v>3</v>
      </c>
      <c r="B3" s="7">
        <v>3</v>
      </c>
      <c r="C3" s="7">
        <v>1</v>
      </c>
      <c r="D3" s="7" t="s">
        <v>34</v>
      </c>
      <c r="E3" s="7" t="s">
        <v>34</v>
      </c>
      <c r="F3" s="7" t="s">
        <v>34</v>
      </c>
      <c r="G3" s="7" t="s">
        <v>34</v>
      </c>
      <c r="H3" s="7" t="s">
        <v>34</v>
      </c>
      <c r="I3" s="7" t="s">
        <v>34</v>
      </c>
      <c r="J3" s="7" t="s">
        <v>26</v>
      </c>
      <c r="K3" s="7" t="s">
        <v>26</v>
      </c>
      <c r="L3" s="7" t="s">
        <v>26</v>
      </c>
      <c r="M3" s="7" t="s">
        <v>41</v>
      </c>
      <c r="P3" t="s">
        <v>14</v>
      </c>
      <c r="Q3" t="s">
        <v>14</v>
      </c>
      <c r="R3">
        <f>COUNTIF(J:J,$Q3)</f>
        <v>3</v>
      </c>
      <c r="S3">
        <f>COUNTIF(K:K,$Q3)</f>
        <v>5</v>
      </c>
      <c r="T3">
        <f>COUNTIF(L:L,$Q3)</f>
        <v>5</v>
      </c>
    </row>
    <row r="4" spans="1:20" x14ac:dyDescent="0.25">
      <c r="A4" s="7">
        <v>16</v>
      </c>
      <c r="B4" s="7">
        <v>16</v>
      </c>
      <c r="C4" s="7">
        <v>1</v>
      </c>
      <c r="D4" s="7" t="s">
        <v>34</v>
      </c>
      <c r="E4" s="7" t="s">
        <v>34</v>
      </c>
      <c r="F4" s="7" t="s">
        <v>34</v>
      </c>
      <c r="G4" s="7" t="s">
        <v>34</v>
      </c>
      <c r="H4" s="7" t="s">
        <v>34</v>
      </c>
      <c r="I4" s="7" t="s">
        <v>34</v>
      </c>
      <c r="J4" s="7" t="s">
        <v>15</v>
      </c>
      <c r="K4" s="7" t="s">
        <v>15</v>
      </c>
      <c r="L4" s="7" t="s">
        <v>15</v>
      </c>
      <c r="M4" s="7"/>
      <c r="P4" t="s">
        <v>15</v>
      </c>
      <c r="Q4" t="s">
        <v>15</v>
      </c>
      <c r="R4">
        <f>COUNTIF(J:J,$Q4)</f>
        <v>11</v>
      </c>
      <c r="S4">
        <f>COUNTIF(K:K,$Q4)</f>
        <v>10</v>
      </c>
      <c r="T4">
        <f>COUNTIF(L:L,$Q4)</f>
        <v>12</v>
      </c>
    </row>
    <row r="5" spans="1:20" x14ac:dyDescent="0.25">
      <c r="A5" s="7">
        <v>18</v>
      </c>
      <c r="B5" s="7">
        <v>18</v>
      </c>
      <c r="C5" s="7">
        <v>1</v>
      </c>
      <c r="D5" s="7" t="s">
        <v>34</v>
      </c>
      <c r="E5" s="7" t="s">
        <v>34</v>
      </c>
      <c r="F5" s="7" t="s">
        <v>34</v>
      </c>
      <c r="G5" s="7" t="s">
        <v>34</v>
      </c>
      <c r="H5" s="7" t="s">
        <v>34</v>
      </c>
      <c r="I5" s="7" t="s">
        <v>34</v>
      </c>
      <c r="J5" s="7" t="s">
        <v>15</v>
      </c>
      <c r="K5" s="7" t="s">
        <v>15</v>
      </c>
      <c r="L5" s="7" t="s">
        <v>15</v>
      </c>
      <c r="M5" s="7"/>
      <c r="P5" t="s">
        <v>22</v>
      </c>
      <c r="Q5" t="s">
        <v>25</v>
      </c>
      <c r="R5">
        <f>COUNTIF(J:J,$Q5)</f>
        <v>5</v>
      </c>
      <c r="S5">
        <f>COUNTIF(K:K,$Q5)</f>
        <v>5</v>
      </c>
      <c r="T5">
        <f>COUNTIF(L:L,$Q5)</f>
        <v>5</v>
      </c>
    </row>
    <row r="6" spans="1:20" ht="15" customHeight="1" x14ac:dyDescent="0.25">
      <c r="A6" s="7">
        <v>20</v>
      </c>
      <c r="B6" s="7">
        <v>20</v>
      </c>
      <c r="C6" s="7">
        <v>1</v>
      </c>
      <c r="D6" s="7" t="s">
        <v>34</v>
      </c>
      <c r="E6" s="7" t="s">
        <v>34</v>
      </c>
      <c r="F6" s="7" t="s">
        <v>34</v>
      </c>
      <c r="G6" s="7" t="s">
        <v>34</v>
      </c>
      <c r="H6" s="7" t="s">
        <v>34</v>
      </c>
      <c r="I6" s="7" t="s">
        <v>34</v>
      </c>
      <c r="J6" s="7" t="s">
        <v>13</v>
      </c>
      <c r="K6" s="7" t="s">
        <v>13</v>
      </c>
      <c r="L6" s="7" t="s">
        <v>13</v>
      </c>
      <c r="M6" s="7"/>
      <c r="P6" t="s">
        <v>21</v>
      </c>
      <c r="Q6" t="s">
        <v>26</v>
      </c>
      <c r="R6">
        <f>COUNTIF(J:J,$Q6)</f>
        <v>7</v>
      </c>
      <c r="S6">
        <f>COUNTIF(K:K,$Q6)</f>
        <v>41</v>
      </c>
      <c r="T6">
        <f>COUNTIF(L:L,$Q6)</f>
        <v>37</v>
      </c>
    </row>
    <row r="7" spans="1:20" x14ac:dyDescent="0.25">
      <c r="A7" s="7">
        <v>28</v>
      </c>
      <c r="B7" s="7">
        <v>28</v>
      </c>
      <c r="C7" s="7">
        <v>1</v>
      </c>
      <c r="D7" s="7" t="s">
        <v>34</v>
      </c>
      <c r="E7" s="7" t="s">
        <v>34</v>
      </c>
      <c r="F7" s="7" t="s">
        <v>34</v>
      </c>
      <c r="G7" s="7" t="s">
        <v>34</v>
      </c>
      <c r="H7" s="7" t="s">
        <v>34</v>
      </c>
      <c r="I7" s="7" t="s">
        <v>34</v>
      </c>
      <c r="J7" s="7" t="s">
        <v>15</v>
      </c>
      <c r="K7" s="7" t="s">
        <v>15</v>
      </c>
      <c r="L7" s="7" t="s">
        <v>15</v>
      </c>
      <c r="M7" s="7"/>
      <c r="P7" t="s">
        <v>23</v>
      </c>
      <c r="Q7" t="s">
        <v>27</v>
      </c>
      <c r="R7">
        <f>COUNTIF(J:J,$Q7)</f>
        <v>42</v>
      </c>
      <c r="S7">
        <f>COUNTIF(K:K,$Q7)</f>
        <v>5</v>
      </c>
      <c r="T7">
        <f>COUNTIF(L:L,$Q7)</f>
        <v>5</v>
      </c>
    </row>
    <row r="8" spans="1:20" ht="15" customHeight="1" x14ac:dyDescent="0.25">
      <c r="A8" s="7">
        <v>34</v>
      </c>
      <c r="B8" s="7">
        <v>34</v>
      </c>
      <c r="C8" s="7">
        <v>1</v>
      </c>
      <c r="D8" s="7" t="s">
        <v>34</v>
      </c>
      <c r="E8" s="7" t="s">
        <v>34</v>
      </c>
      <c r="F8" s="7" t="s">
        <v>34</v>
      </c>
      <c r="G8" s="7" t="s">
        <v>34</v>
      </c>
      <c r="H8" s="7" t="s">
        <v>34</v>
      </c>
      <c r="I8" s="7" t="s">
        <v>34</v>
      </c>
      <c r="J8" s="7" t="s">
        <v>15</v>
      </c>
      <c r="K8" s="7" t="s">
        <v>26</v>
      </c>
      <c r="L8" s="7" t="s">
        <v>15</v>
      </c>
      <c r="M8" s="7" t="s">
        <v>28</v>
      </c>
      <c r="P8" s="5" t="s">
        <v>16</v>
      </c>
      <c r="Q8" s="5"/>
      <c r="R8" s="6">
        <f>SUM(R2:R7)</f>
        <v>90</v>
      </c>
      <c r="S8" s="6">
        <f>SUM(S2:S7)</f>
        <v>90</v>
      </c>
      <c r="T8" s="6">
        <f>SUM(T2:T7)</f>
        <v>90</v>
      </c>
    </row>
    <row r="9" spans="1:20" x14ac:dyDescent="0.25">
      <c r="A9" s="7">
        <v>43</v>
      </c>
      <c r="B9" s="7">
        <v>43</v>
      </c>
      <c r="C9" s="7">
        <v>1</v>
      </c>
      <c r="D9" s="7" t="s">
        <v>34</v>
      </c>
      <c r="E9" s="7" t="s">
        <v>34</v>
      </c>
      <c r="F9" s="7" t="s">
        <v>34</v>
      </c>
      <c r="G9" s="7" t="s">
        <v>34</v>
      </c>
      <c r="H9" s="7" t="s">
        <v>34</v>
      </c>
      <c r="I9" s="7" t="s">
        <v>34</v>
      </c>
      <c r="J9" s="7" t="s">
        <v>15</v>
      </c>
      <c r="K9" s="7" t="s">
        <v>26</v>
      </c>
      <c r="L9" s="7" t="s">
        <v>15</v>
      </c>
      <c r="M9" s="7" t="s">
        <v>28</v>
      </c>
      <c r="P9" s="5"/>
      <c r="Q9" s="5"/>
      <c r="R9" s="6"/>
      <c r="S9" s="6"/>
      <c r="T9" s="6"/>
    </row>
    <row r="10" spans="1:20" x14ac:dyDescent="0.25">
      <c r="A10" s="7">
        <v>44</v>
      </c>
      <c r="B10" s="7">
        <v>44</v>
      </c>
      <c r="C10" s="7">
        <v>1</v>
      </c>
      <c r="D10" s="7" t="s">
        <v>34</v>
      </c>
      <c r="E10" s="7" t="s">
        <v>34</v>
      </c>
      <c r="F10" s="7" t="s">
        <v>34</v>
      </c>
      <c r="G10" s="7" t="s">
        <v>34</v>
      </c>
      <c r="H10" s="7" t="s">
        <v>34</v>
      </c>
      <c r="I10" s="7" t="s">
        <v>34</v>
      </c>
      <c r="J10" s="7" t="s">
        <v>14</v>
      </c>
      <c r="K10" s="7" t="s">
        <v>14</v>
      </c>
      <c r="L10" s="7" t="s">
        <v>14</v>
      </c>
      <c r="M10" s="7" t="s">
        <v>28</v>
      </c>
    </row>
    <row r="11" spans="1:20" x14ac:dyDescent="0.25">
      <c r="A11" s="7">
        <v>48</v>
      </c>
      <c r="B11" s="7">
        <v>48</v>
      </c>
      <c r="C11" s="7">
        <v>1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27</v>
      </c>
      <c r="K11" s="7" t="s">
        <v>26</v>
      </c>
      <c r="L11" s="7" t="s">
        <v>26</v>
      </c>
      <c r="M11" s="7" t="s">
        <v>28</v>
      </c>
    </row>
    <row r="12" spans="1:20" x14ac:dyDescent="0.25">
      <c r="A12" s="7">
        <v>51</v>
      </c>
      <c r="B12" s="7">
        <v>51</v>
      </c>
      <c r="C12" s="7">
        <v>1</v>
      </c>
      <c r="D12" s="7" t="s">
        <v>34</v>
      </c>
      <c r="E12" s="7" t="s">
        <v>34</v>
      </c>
      <c r="F12" s="7" t="s">
        <v>34</v>
      </c>
      <c r="G12" s="7" t="s">
        <v>34</v>
      </c>
      <c r="H12" s="7" t="s">
        <v>34</v>
      </c>
      <c r="I12" s="7" t="s">
        <v>34</v>
      </c>
      <c r="J12" s="7" t="s">
        <v>27</v>
      </c>
      <c r="K12" s="7" t="s">
        <v>26</v>
      </c>
      <c r="L12" s="7" t="s">
        <v>26</v>
      </c>
      <c r="M12" s="7" t="s">
        <v>28</v>
      </c>
    </row>
    <row r="13" spans="1:20" x14ac:dyDescent="0.25">
      <c r="A13" s="7">
        <v>55</v>
      </c>
      <c r="B13" s="7">
        <v>55</v>
      </c>
      <c r="C13" s="7">
        <v>1</v>
      </c>
      <c r="D13" s="7" t="s">
        <v>34</v>
      </c>
      <c r="E13" s="7" t="s">
        <v>34</v>
      </c>
      <c r="F13" s="7" t="s">
        <v>34</v>
      </c>
      <c r="G13" s="7" t="s">
        <v>34</v>
      </c>
      <c r="H13" s="7" t="s">
        <v>34</v>
      </c>
      <c r="I13" s="7" t="s">
        <v>34</v>
      </c>
      <c r="J13" s="7" t="s">
        <v>27</v>
      </c>
      <c r="K13" s="7" t="s">
        <v>26</v>
      </c>
      <c r="L13" s="7" t="s">
        <v>26</v>
      </c>
      <c r="M13" s="7" t="s">
        <v>28</v>
      </c>
    </row>
    <row r="14" spans="1:20" x14ac:dyDescent="0.25">
      <c r="A14" s="7">
        <v>57</v>
      </c>
      <c r="B14" s="7">
        <v>57</v>
      </c>
      <c r="C14" s="7">
        <v>1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34</v>
      </c>
      <c r="J14" s="7" t="s">
        <v>25</v>
      </c>
      <c r="K14" s="7" t="s">
        <v>25</v>
      </c>
      <c r="L14" s="7" t="s">
        <v>25</v>
      </c>
      <c r="M14" s="7" t="s">
        <v>42</v>
      </c>
    </row>
    <row r="15" spans="1:20" x14ac:dyDescent="0.25">
      <c r="A15" s="7">
        <v>58</v>
      </c>
      <c r="B15" s="7">
        <v>58</v>
      </c>
      <c r="C15" s="7">
        <v>1</v>
      </c>
      <c r="D15" s="7" t="s">
        <v>34</v>
      </c>
      <c r="E15" s="7" t="s">
        <v>34</v>
      </c>
      <c r="F15" s="7" t="s">
        <v>34</v>
      </c>
      <c r="G15" s="7" t="s">
        <v>34</v>
      </c>
      <c r="H15" s="7" t="s">
        <v>34</v>
      </c>
      <c r="I15" s="7" t="s">
        <v>34</v>
      </c>
      <c r="J15" s="7" t="s">
        <v>27</v>
      </c>
      <c r="K15" s="7" t="s">
        <v>27</v>
      </c>
      <c r="L15" s="7" t="s">
        <v>27</v>
      </c>
      <c r="M15" s="7"/>
    </row>
    <row r="16" spans="1:20" x14ac:dyDescent="0.25">
      <c r="A16" s="7">
        <v>68</v>
      </c>
      <c r="B16" s="7">
        <v>68</v>
      </c>
      <c r="C16" s="7">
        <v>1</v>
      </c>
      <c r="D16" s="7" t="s">
        <v>34</v>
      </c>
      <c r="E16" s="7" t="s">
        <v>34</v>
      </c>
      <c r="F16" s="7" t="s">
        <v>34</v>
      </c>
      <c r="G16" s="7" t="s">
        <v>34</v>
      </c>
      <c r="H16" s="7" t="s">
        <v>34</v>
      </c>
      <c r="I16" s="7" t="s">
        <v>34</v>
      </c>
      <c r="J16" s="7" t="s">
        <v>27</v>
      </c>
      <c r="K16" s="7" t="s">
        <v>26</v>
      </c>
      <c r="L16" s="7" t="s">
        <v>26</v>
      </c>
      <c r="M16" s="7" t="s">
        <v>28</v>
      </c>
    </row>
    <row r="17" spans="1:13" x14ac:dyDescent="0.25">
      <c r="A17" s="7">
        <v>69</v>
      </c>
      <c r="B17" s="7">
        <v>69</v>
      </c>
      <c r="C17" s="7">
        <v>1</v>
      </c>
      <c r="D17" s="7" t="s">
        <v>34</v>
      </c>
      <c r="E17" s="7" t="s">
        <v>34</v>
      </c>
      <c r="F17" s="7" t="s">
        <v>34</v>
      </c>
      <c r="G17" s="7" t="s">
        <v>34</v>
      </c>
      <c r="H17" s="7" t="s">
        <v>34</v>
      </c>
      <c r="I17" s="7" t="s">
        <v>34</v>
      </c>
      <c r="J17" s="7" t="s">
        <v>27</v>
      </c>
      <c r="K17" s="7" t="s">
        <v>26</v>
      </c>
      <c r="L17" s="7" t="s">
        <v>26</v>
      </c>
      <c r="M17" s="7" t="s">
        <v>28</v>
      </c>
    </row>
    <row r="18" spans="1:13" x14ac:dyDescent="0.25">
      <c r="A18" s="7">
        <v>70</v>
      </c>
      <c r="B18" s="7">
        <v>70</v>
      </c>
      <c r="C18" s="7">
        <v>1</v>
      </c>
      <c r="D18" s="7" t="s">
        <v>34</v>
      </c>
      <c r="E18" s="7" t="s">
        <v>34</v>
      </c>
      <c r="F18" s="7" t="s">
        <v>34</v>
      </c>
      <c r="G18" s="7" t="s">
        <v>34</v>
      </c>
      <c r="H18" s="7" t="s">
        <v>34</v>
      </c>
      <c r="I18" s="7" t="s">
        <v>34</v>
      </c>
      <c r="J18" s="7" t="s">
        <v>27</v>
      </c>
      <c r="K18" s="7" t="s">
        <v>26</v>
      </c>
      <c r="L18" s="7" t="s">
        <v>26</v>
      </c>
      <c r="M18" s="7" t="s">
        <v>28</v>
      </c>
    </row>
    <row r="19" spans="1:13" x14ac:dyDescent="0.25">
      <c r="A19" s="7">
        <v>71</v>
      </c>
      <c r="B19" s="7">
        <v>71</v>
      </c>
      <c r="C19" s="7">
        <v>1</v>
      </c>
      <c r="D19" s="7" t="s">
        <v>34</v>
      </c>
      <c r="E19" s="7" t="s">
        <v>34</v>
      </c>
      <c r="F19" s="7" t="s">
        <v>34</v>
      </c>
      <c r="G19" s="7" t="s">
        <v>34</v>
      </c>
      <c r="H19" s="7" t="s">
        <v>34</v>
      </c>
      <c r="I19" s="7" t="s">
        <v>34</v>
      </c>
      <c r="J19" s="7" t="s">
        <v>14</v>
      </c>
      <c r="K19" s="7" t="s">
        <v>14</v>
      </c>
      <c r="L19" s="7" t="s">
        <v>14</v>
      </c>
      <c r="M19" s="7" t="s">
        <v>43</v>
      </c>
    </row>
    <row r="20" spans="1:13" x14ac:dyDescent="0.25">
      <c r="A20" s="7">
        <v>107</v>
      </c>
      <c r="B20" s="7">
        <v>107</v>
      </c>
      <c r="C20" s="7">
        <v>1</v>
      </c>
      <c r="D20" s="7" t="s">
        <v>34</v>
      </c>
      <c r="E20" s="7" t="s">
        <v>34</v>
      </c>
      <c r="F20" s="7" t="s">
        <v>34</v>
      </c>
      <c r="G20" s="7" t="s">
        <v>34</v>
      </c>
      <c r="H20" s="7" t="s">
        <v>34</v>
      </c>
      <c r="I20" s="7" t="s">
        <v>34</v>
      </c>
      <c r="J20" s="7" t="s">
        <v>27</v>
      </c>
      <c r="K20" s="7" t="s">
        <v>26</v>
      </c>
      <c r="L20" s="7" t="s">
        <v>26</v>
      </c>
      <c r="M20" s="7"/>
    </row>
    <row r="21" spans="1:13" x14ac:dyDescent="0.25">
      <c r="A21" s="7">
        <v>108</v>
      </c>
      <c r="B21" s="7">
        <v>108</v>
      </c>
      <c r="C21" s="7">
        <v>1</v>
      </c>
      <c r="D21" s="7" t="s">
        <v>34</v>
      </c>
      <c r="E21" s="7" t="s">
        <v>34</v>
      </c>
      <c r="F21" s="7" t="s">
        <v>34</v>
      </c>
      <c r="G21" s="7" t="s">
        <v>34</v>
      </c>
      <c r="H21" s="7" t="s">
        <v>34</v>
      </c>
      <c r="I21" s="7" t="s">
        <v>34</v>
      </c>
      <c r="J21" s="7" t="s">
        <v>27</v>
      </c>
      <c r="K21" s="7" t="s">
        <v>26</v>
      </c>
      <c r="L21" s="7" t="s">
        <v>26</v>
      </c>
      <c r="M21" s="7" t="s">
        <v>28</v>
      </c>
    </row>
    <row r="22" spans="1:13" x14ac:dyDescent="0.25">
      <c r="A22" s="7">
        <v>110</v>
      </c>
      <c r="B22" s="7">
        <v>110</v>
      </c>
      <c r="C22" s="7">
        <v>1</v>
      </c>
      <c r="D22" s="7" t="s">
        <v>34</v>
      </c>
      <c r="E22" s="7" t="s">
        <v>34</v>
      </c>
      <c r="F22" s="7" t="s">
        <v>34</v>
      </c>
      <c r="G22" s="7" t="s">
        <v>34</v>
      </c>
      <c r="H22" s="7" t="s">
        <v>34</v>
      </c>
      <c r="I22" s="7" t="s">
        <v>34</v>
      </c>
      <c r="J22" s="7" t="s">
        <v>27</v>
      </c>
      <c r="K22" s="7" t="s">
        <v>26</v>
      </c>
      <c r="L22" s="7" t="s">
        <v>26</v>
      </c>
      <c r="M22" s="7" t="s">
        <v>28</v>
      </c>
    </row>
    <row r="23" spans="1:13" x14ac:dyDescent="0.25">
      <c r="A23" s="7">
        <v>115</v>
      </c>
      <c r="B23" s="7">
        <v>115</v>
      </c>
      <c r="C23" s="7">
        <v>1</v>
      </c>
      <c r="D23" s="7" t="s">
        <v>34</v>
      </c>
      <c r="E23" s="7" t="s">
        <v>34</v>
      </c>
      <c r="F23" s="7" t="s">
        <v>34</v>
      </c>
      <c r="G23" s="7" t="s">
        <v>34</v>
      </c>
      <c r="H23" s="7" t="s">
        <v>34</v>
      </c>
      <c r="I23" s="7" t="s">
        <v>34</v>
      </c>
      <c r="J23" s="7" t="s">
        <v>27</v>
      </c>
      <c r="K23" s="7" t="s">
        <v>26</v>
      </c>
      <c r="L23" s="7" t="s">
        <v>26</v>
      </c>
      <c r="M23" s="7" t="s">
        <v>28</v>
      </c>
    </row>
    <row r="24" spans="1:13" x14ac:dyDescent="0.25">
      <c r="A24" s="7">
        <v>116</v>
      </c>
      <c r="B24" s="7">
        <v>116</v>
      </c>
      <c r="C24" s="7">
        <v>1</v>
      </c>
      <c r="D24" s="7" t="s">
        <v>34</v>
      </c>
      <c r="E24" s="7" t="s">
        <v>34</v>
      </c>
      <c r="F24" s="7" t="s">
        <v>34</v>
      </c>
      <c r="G24" s="7" t="s">
        <v>34</v>
      </c>
      <c r="H24" s="7" t="s">
        <v>34</v>
      </c>
      <c r="I24" s="7" t="s">
        <v>34</v>
      </c>
      <c r="J24" s="7" t="s">
        <v>27</v>
      </c>
      <c r="K24" s="7" t="s">
        <v>26</v>
      </c>
      <c r="L24" s="7" t="s">
        <v>26</v>
      </c>
      <c r="M24" s="7" t="s">
        <v>28</v>
      </c>
    </row>
    <row r="25" spans="1:13" x14ac:dyDescent="0.25">
      <c r="A25" s="7">
        <v>117</v>
      </c>
      <c r="B25" s="7">
        <v>117</v>
      </c>
      <c r="C25" s="7">
        <v>1</v>
      </c>
      <c r="D25" s="7" t="s">
        <v>34</v>
      </c>
      <c r="E25" s="7" t="s">
        <v>34</v>
      </c>
      <c r="F25" s="7" t="s">
        <v>34</v>
      </c>
      <c r="G25" s="7" t="s">
        <v>34</v>
      </c>
      <c r="H25" s="7" t="s">
        <v>34</v>
      </c>
      <c r="I25" s="7" t="s">
        <v>34</v>
      </c>
      <c r="J25" s="7" t="s">
        <v>27</v>
      </c>
      <c r="K25" s="7" t="s">
        <v>26</v>
      </c>
      <c r="L25" s="7" t="s">
        <v>26</v>
      </c>
      <c r="M25" s="7" t="s">
        <v>28</v>
      </c>
    </row>
    <row r="26" spans="1:13" x14ac:dyDescent="0.25">
      <c r="A26" s="7">
        <v>118</v>
      </c>
      <c r="B26" s="7">
        <v>118</v>
      </c>
      <c r="C26" s="7">
        <v>1</v>
      </c>
      <c r="D26" s="7" t="s">
        <v>34</v>
      </c>
      <c r="E26" s="7" t="s">
        <v>34</v>
      </c>
      <c r="F26" s="7" t="s">
        <v>34</v>
      </c>
      <c r="G26" s="7" t="s">
        <v>34</v>
      </c>
      <c r="H26" s="7" t="s">
        <v>34</v>
      </c>
      <c r="I26" s="7" t="s">
        <v>34</v>
      </c>
      <c r="J26" s="7" t="s">
        <v>27</v>
      </c>
      <c r="K26" s="7" t="s">
        <v>26</v>
      </c>
      <c r="L26" s="7" t="s">
        <v>26</v>
      </c>
      <c r="M26" s="7" t="s">
        <v>28</v>
      </c>
    </row>
    <row r="27" spans="1:13" x14ac:dyDescent="0.25">
      <c r="A27" s="7">
        <v>121</v>
      </c>
      <c r="B27" s="7">
        <v>121</v>
      </c>
      <c r="C27" s="7">
        <v>1</v>
      </c>
      <c r="D27" s="7" t="s">
        <v>34</v>
      </c>
      <c r="E27" s="7" t="s">
        <v>34</v>
      </c>
      <c r="F27" s="7" t="s">
        <v>34</v>
      </c>
      <c r="G27" s="7" t="s">
        <v>34</v>
      </c>
      <c r="H27" s="7" t="s">
        <v>34</v>
      </c>
      <c r="I27" s="7" t="s">
        <v>34</v>
      </c>
      <c r="J27" s="7" t="s">
        <v>27</v>
      </c>
      <c r="K27" s="7" t="s">
        <v>13</v>
      </c>
      <c r="L27" s="7" t="s">
        <v>13</v>
      </c>
      <c r="M27" s="7"/>
    </row>
    <row r="28" spans="1:13" x14ac:dyDescent="0.25">
      <c r="A28" s="7">
        <v>122</v>
      </c>
      <c r="B28" s="7">
        <v>122</v>
      </c>
      <c r="C28" s="7">
        <v>1</v>
      </c>
      <c r="D28" s="7" t="s">
        <v>34</v>
      </c>
      <c r="E28" s="7" t="s">
        <v>34</v>
      </c>
      <c r="F28" s="7" t="s">
        <v>34</v>
      </c>
      <c r="G28" s="7" t="s">
        <v>34</v>
      </c>
      <c r="H28" s="7" t="s">
        <v>34</v>
      </c>
      <c r="I28" s="7" t="s">
        <v>34</v>
      </c>
      <c r="J28" s="7" t="s">
        <v>13</v>
      </c>
      <c r="K28" s="7" t="s">
        <v>13</v>
      </c>
      <c r="L28" s="7" t="s">
        <v>13</v>
      </c>
      <c r="M28" s="7" t="s">
        <v>28</v>
      </c>
    </row>
    <row r="29" spans="1:13" x14ac:dyDescent="0.25">
      <c r="A29" s="7">
        <v>128</v>
      </c>
      <c r="B29" s="7">
        <v>128</v>
      </c>
      <c r="C29" s="7">
        <v>1</v>
      </c>
      <c r="D29" s="7" t="s">
        <v>34</v>
      </c>
      <c r="E29" s="7" t="s">
        <v>34</v>
      </c>
      <c r="F29" s="7" t="s">
        <v>34</v>
      </c>
      <c r="G29" s="7" t="s">
        <v>34</v>
      </c>
      <c r="H29" s="7" t="s">
        <v>34</v>
      </c>
      <c r="I29" s="7" t="s">
        <v>34</v>
      </c>
      <c r="J29" s="7" t="s">
        <v>27</v>
      </c>
      <c r="K29" s="7" t="s">
        <v>26</v>
      </c>
      <c r="L29" s="7" t="s">
        <v>26</v>
      </c>
      <c r="M29" s="7" t="s">
        <v>28</v>
      </c>
    </row>
    <row r="30" spans="1:13" x14ac:dyDescent="0.25">
      <c r="A30" s="7">
        <v>132</v>
      </c>
      <c r="B30" s="7">
        <v>3</v>
      </c>
      <c r="C30" s="7">
        <v>2</v>
      </c>
      <c r="D30" s="7">
        <v>11566.92</v>
      </c>
      <c r="E30" s="7">
        <v>1761.894</v>
      </c>
      <c r="F30" s="7">
        <v>2.6143450000000001</v>
      </c>
      <c r="G30" s="7">
        <v>4.5290020000000002</v>
      </c>
      <c r="H30" s="7">
        <v>9.9116309999999999</v>
      </c>
      <c r="I30" s="7">
        <v>0.57917359999999996</v>
      </c>
      <c r="J30" s="7" t="s">
        <v>13</v>
      </c>
      <c r="K30" s="7" t="s">
        <v>13</v>
      </c>
      <c r="L30" s="7" t="s">
        <v>13</v>
      </c>
      <c r="M30" s="7"/>
    </row>
    <row r="31" spans="1:13" x14ac:dyDescent="0.25">
      <c r="A31" s="7">
        <v>140</v>
      </c>
      <c r="B31" s="7">
        <v>11</v>
      </c>
      <c r="C31" s="7">
        <v>2</v>
      </c>
      <c r="D31" s="7">
        <v>11520.03</v>
      </c>
      <c r="E31" s="7">
        <v>1774.325</v>
      </c>
      <c r="F31" s="7">
        <v>4.1502249999999998</v>
      </c>
      <c r="G31" s="7">
        <v>13.756320000000001</v>
      </c>
      <c r="H31" s="7">
        <v>14.569140000000001</v>
      </c>
      <c r="I31" s="7">
        <v>0.81419969999999997</v>
      </c>
      <c r="J31" s="7" t="s">
        <v>13</v>
      </c>
      <c r="K31" s="7" t="s">
        <v>13</v>
      </c>
      <c r="L31" s="7" t="s">
        <v>13</v>
      </c>
      <c r="M31" s="7" t="s">
        <v>28</v>
      </c>
    </row>
    <row r="32" spans="1:13" x14ac:dyDescent="0.25">
      <c r="A32" s="7">
        <v>148</v>
      </c>
      <c r="B32" s="7">
        <v>19</v>
      </c>
      <c r="C32" s="7">
        <v>2</v>
      </c>
      <c r="D32" s="7">
        <v>11539.22</v>
      </c>
      <c r="E32" s="7">
        <v>1795.2270000000001</v>
      </c>
      <c r="F32" s="7">
        <v>1.2237629999999999</v>
      </c>
      <c r="G32" s="7">
        <v>1.1597630000000001</v>
      </c>
      <c r="H32" s="7">
        <v>4.1055320000000002</v>
      </c>
      <c r="I32" s="7">
        <v>0.86442419999999998</v>
      </c>
      <c r="J32" s="7" t="s">
        <v>13</v>
      </c>
      <c r="K32" s="7" t="s">
        <v>13</v>
      </c>
      <c r="L32" s="7" t="s">
        <v>13</v>
      </c>
      <c r="M32" s="7"/>
    </row>
    <row r="33" spans="1:13" x14ac:dyDescent="0.25">
      <c r="A33" s="7">
        <v>149</v>
      </c>
      <c r="B33" s="7">
        <v>20</v>
      </c>
      <c r="C33" s="7">
        <v>2</v>
      </c>
      <c r="D33" s="7">
        <v>11491.41</v>
      </c>
      <c r="E33" s="7">
        <v>1799.056</v>
      </c>
      <c r="F33" s="7">
        <v>3.2034889999999998</v>
      </c>
      <c r="G33" s="7">
        <v>7.8897760000000003</v>
      </c>
      <c r="H33" s="7">
        <v>10.61603</v>
      </c>
      <c r="I33" s="7">
        <v>0.87950229999999996</v>
      </c>
      <c r="J33" s="7" t="s">
        <v>13</v>
      </c>
      <c r="K33" s="7" t="s">
        <v>13</v>
      </c>
      <c r="L33" s="7" t="s">
        <v>13</v>
      </c>
      <c r="M33" s="7"/>
    </row>
    <row r="34" spans="1:13" x14ac:dyDescent="0.25">
      <c r="A34" s="7">
        <v>153</v>
      </c>
      <c r="B34" s="7">
        <v>24</v>
      </c>
      <c r="C34" s="7">
        <v>2</v>
      </c>
      <c r="D34" s="7">
        <v>11540.71</v>
      </c>
      <c r="E34" s="7">
        <v>1800.952</v>
      </c>
      <c r="F34" s="7">
        <v>3.82782</v>
      </c>
      <c r="G34" s="7">
        <v>11.47912</v>
      </c>
      <c r="H34" s="7">
        <v>12.86857</v>
      </c>
      <c r="I34" s="7">
        <v>0.87085199999999996</v>
      </c>
      <c r="J34" s="7" t="s">
        <v>13</v>
      </c>
      <c r="K34" s="7" t="s">
        <v>13</v>
      </c>
      <c r="L34" s="7" t="s">
        <v>13</v>
      </c>
      <c r="M34" s="7"/>
    </row>
    <row r="35" spans="1:13" x14ac:dyDescent="0.25">
      <c r="A35" s="7">
        <v>167</v>
      </c>
      <c r="B35" s="7">
        <v>38</v>
      </c>
      <c r="C35" s="7">
        <v>2</v>
      </c>
      <c r="D35" s="7">
        <v>11481.78</v>
      </c>
      <c r="E35" s="7">
        <v>1823.145</v>
      </c>
      <c r="F35" s="7">
        <v>3.0144639999999998</v>
      </c>
      <c r="G35" s="7">
        <v>7.1532840000000002</v>
      </c>
      <c r="H35" s="7">
        <v>10.127190000000001</v>
      </c>
      <c r="I35" s="7">
        <v>0.87624190000000002</v>
      </c>
      <c r="J35" s="7" t="s">
        <v>27</v>
      </c>
      <c r="K35" s="7" t="s">
        <v>26</v>
      </c>
      <c r="L35" s="7" t="s">
        <v>26</v>
      </c>
      <c r="M35" s="7" t="s">
        <v>28</v>
      </c>
    </row>
    <row r="36" spans="1:13" x14ac:dyDescent="0.25">
      <c r="A36" s="7">
        <v>172</v>
      </c>
      <c r="B36" s="7">
        <v>43</v>
      </c>
      <c r="C36" s="7">
        <v>2</v>
      </c>
      <c r="D36" s="7">
        <v>11479.68</v>
      </c>
      <c r="E36" s="7">
        <v>1832.941</v>
      </c>
      <c r="F36" s="7">
        <v>1.514419</v>
      </c>
      <c r="G36" s="7">
        <v>1.7184809999999999</v>
      </c>
      <c r="H36" s="7">
        <v>4.9939210000000003</v>
      </c>
      <c r="I36" s="7">
        <v>0.86568100000000003</v>
      </c>
      <c r="J36" s="7" t="s">
        <v>13</v>
      </c>
      <c r="K36" s="7" t="s">
        <v>26</v>
      </c>
      <c r="L36" s="7" t="s">
        <v>13</v>
      </c>
      <c r="M36" s="7"/>
    </row>
    <row r="37" spans="1:13" x14ac:dyDescent="0.25">
      <c r="A37" s="7">
        <v>174</v>
      </c>
      <c r="B37" s="7">
        <v>45</v>
      </c>
      <c r="C37" s="7">
        <v>2</v>
      </c>
      <c r="D37" s="7">
        <v>11506.78</v>
      </c>
      <c r="E37" s="7">
        <v>1834.6089999999999</v>
      </c>
      <c r="F37" s="7">
        <v>3.4685700000000002</v>
      </c>
      <c r="G37" s="7">
        <v>9.6336539999999999</v>
      </c>
      <c r="H37" s="7">
        <v>11.764620000000001</v>
      </c>
      <c r="I37" s="7">
        <v>0.87444319999999998</v>
      </c>
      <c r="J37" s="7" t="s">
        <v>27</v>
      </c>
      <c r="K37" s="7" t="s">
        <v>14</v>
      </c>
      <c r="L37" s="7" t="s">
        <v>14</v>
      </c>
      <c r="M37" s="7" t="s">
        <v>28</v>
      </c>
    </row>
    <row r="38" spans="1:13" x14ac:dyDescent="0.25">
      <c r="A38" s="7">
        <v>243</v>
      </c>
      <c r="B38" s="7">
        <v>48</v>
      </c>
      <c r="C38" s="7">
        <v>3</v>
      </c>
      <c r="D38" s="7">
        <v>11418.06</v>
      </c>
      <c r="E38" s="7">
        <v>2625.0639999999999</v>
      </c>
      <c r="F38" s="7">
        <v>1.8353930000000001</v>
      </c>
      <c r="G38" s="7">
        <v>2.6412119999999999</v>
      </c>
      <c r="H38" s="7">
        <v>6.2187250000000001</v>
      </c>
      <c r="I38" s="7">
        <v>0.85801919999999998</v>
      </c>
      <c r="J38" s="7" t="s">
        <v>27</v>
      </c>
      <c r="K38" s="7" t="s">
        <v>27</v>
      </c>
      <c r="L38" s="7" t="s">
        <v>27</v>
      </c>
      <c r="M38" s="7" t="s">
        <v>28</v>
      </c>
    </row>
    <row r="39" spans="1:13" x14ac:dyDescent="0.25">
      <c r="A39" s="7">
        <v>265</v>
      </c>
      <c r="B39" s="7">
        <v>70</v>
      </c>
      <c r="C39" s="7">
        <v>3</v>
      </c>
      <c r="D39" s="7">
        <v>11285.84</v>
      </c>
      <c r="E39" s="7">
        <v>2637.7420000000002</v>
      </c>
      <c r="F39" s="7">
        <v>1.4857199999999999</v>
      </c>
      <c r="G39" s="7">
        <v>1.7015499999999999</v>
      </c>
      <c r="H39" s="7">
        <v>5.038564</v>
      </c>
      <c r="I39" s="7">
        <v>0.8420299</v>
      </c>
      <c r="J39" s="7" t="s">
        <v>13</v>
      </c>
      <c r="K39" s="7" t="s">
        <v>13</v>
      </c>
      <c r="L39" s="7" t="s">
        <v>13</v>
      </c>
      <c r="M39" s="7" t="s">
        <v>28</v>
      </c>
    </row>
    <row r="40" spans="1:13" x14ac:dyDescent="0.25">
      <c r="A40" s="7">
        <v>278</v>
      </c>
      <c r="B40" s="7">
        <v>83</v>
      </c>
      <c r="C40" s="7">
        <v>3</v>
      </c>
      <c r="D40" s="7">
        <v>11304.1</v>
      </c>
      <c r="E40" s="7">
        <v>2644.386</v>
      </c>
      <c r="F40" s="7">
        <v>1.9166080000000001</v>
      </c>
      <c r="G40" s="7">
        <v>2.9713639999999999</v>
      </c>
      <c r="H40" s="7">
        <v>6.5104959999999998</v>
      </c>
      <c r="I40" s="7">
        <v>0.88069209999999998</v>
      </c>
      <c r="J40" s="7" t="s">
        <v>27</v>
      </c>
      <c r="K40" s="7" t="s">
        <v>27</v>
      </c>
      <c r="L40" s="7" t="s">
        <v>27</v>
      </c>
      <c r="M40" s="7" t="s">
        <v>28</v>
      </c>
    </row>
    <row r="41" spans="1:13" x14ac:dyDescent="0.25">
      <c r="A41" s="7">
        <v>293</v>
      </c>
      <c r="B41" s="7">
        <v>12</v>
      </c>
      <c r="C41" s="7">
        <v>4</v>
      </c>
      <c r="D41" s="7">
        <v>12972.08</v>
      </c>
      <c r="E41" s="7">
        <v>2939.7579999999998</v>
      </c>
      <c r="F41" s="7">
        <v>0.87018620000000002</v>
      </c>
      <c r="G41" s="7">
        <v>0.57564890000000002</v>
      </c>
      <c r="H41" s="7">
        <v>3.0331510000000002</v>
      </c>
      <c r="I41" s="7">
        <v>0.78607879999999997</v>
      </c>
      <c r="J41" s="7" t="s">
        <v>27</v>
      </c>
      <c r="K41" s="7" t="s">
        <v>26</v>
      </c>
      <c r="L41" s="7" t="s">
        <v>26</v>
      </c>
      <c r="M41" s="7" t="s">
        <v>28</v>
      </c>
    </row>
    <row r="42" spans="1:13" x14ac:dyDescent="0.25">
      <c r="A42" s="7">
        <v>323</v>
      </c>
      <c r="B42" s="7">
        <v>42</v>
      </c>
      <c r="C42" s="7">
        <v>4</v>
      </c>
      <c r="D42" s="7">
        <v>12946.83</v>
      </c>
      <c r="E42" s="7">
        <v>2957.5520000000001</v>
      </c>
      <c r="F42" s="7">
        <v>1.884665</v>
      </c>
      <c r="G42" s="7">
        <v>2.9544329999999999</v>
      </c>
      <c r="H42" s="7">
        <v>6.6182759999999998</v>
      </c>
      <c r="I42" s="7">
        <v>0.84738519999999995</v>
      </c>
      <c r="J42" s="7" t="s">
        <v>13</v>
      </c>
      <c r="K42" s="7" t="s">
        <v>13</v>
      </c>
      <c r="L42" s="7" t="s">
        <v>13</v>
      </c>
      <c r="M42" s="7"/>
    </row>
    <row r="43" spans="1:13" x14ac:dyDescent="0.25">
      <c r="A43" s="7">
        <v>337</v>
      </c>
      <c r="B43" s="7">
        <v>56</v>
      </c>
      <c r="C43" s="7">
        <v>4</v>
      </c>
      <c r="D43" s="7">
        <v>12877.57</v>
      </c>
      <c r="E43" s="7">
        <v>2965.212</v>
      </c>
      <c r="F43" s="7">
        <v>1.200402</v>
      </c>
      <c r="G43" s="7">
        <v>1.083574</v>
      </c>
      <c r="H43" s="7">
        <v>4.5497259999999997</v>
      </c>
      <c r="I43" s="7">
        <v>0.65763450000000001</v>
      </c>
      <c r="J43" s="7" t="s">
        <v>13</v>
      </c>
      <c r="K43" s="7" t="s">
        <v>13</v>
      </c>
      <c r="L43" s="7" t="s">
        <v>13</v>
      </c>
      <c r="M43" s="7" t="s">
        <v>28</v>
      </c>
    </row>
    <row r="44" spans="1:13" x14ac:dyDescent="0.25">
      <c r="A44" s="7">
        <v>338</v>
      </c>
      <c r="B44" s="7">
        <v>57</v>
      </c>
      <c r="C44" s="7">
        <v>4</v>
      </c>
      <c r="D44" s="7">
        <v>12880.85</v>
      </c>
      <c r="E44" s="7">
        <v>2965.4389999999999</v>
      </c>
      <c r="F44" s="7">
        <v>1.360565</v>
      </c>
      <c r="G44" s="7">
        <v>1.379864</v>
      </c>
      <c r="H44" s="7">
        <v>4.9939210000000003</v>
      </c>
      <c r="I44" s="7">
        <v>0.69510349999999999</v>
      </c>
      <c r="J44" s="7" t="s">
        <v>13</v>
      </c>
      <c r="K44" s="7" t="s">
        <v>13</v>
      </c>
      <c r="L44" s="7" t="s">
        <v>13</v>
      </c>
      <c r="M44" s="7" t="s">
        <v>28</v>
      </c>
    </row>
    <row r="45" spans="1:13" x14ac:dyDescent="0.25">
      <c r="A45" s="7">
        <v>348</v>
      </c>
      <c r="B45" s="7">
        <v>67</v>
      </c>
      <c r="C45" s="7">
        <v>4</v>
      </c>
      <c r="D45" s="7">
        <v>13014.84</v>
      </c>
      <c r="E45" s="7">
        <v>2971.7550000000001</v>
      </c>
      <c r="F45" s="7">
        <v>1.629078</v>
      </c>
      <c r="G45" s="7">
        <v>2.107891</v>
      </c>
      <c r="H45" s="7">
        <v>5.5143279999999999</v>
      </c>
      <c r="I45" s="7">
        <v>0.87088220000000005</v>
      </c>
      <c r="J45" s="7" t="s">
        <v>27</v>
      </c>
      <c r="K45" s="7" t="s">
        <v>26</v>
      </c>
      <c r="L45" s="7" t="s">
        <v>26</v>
      </c>
      <c r="M45" s="7" t="s">
        <v>28</v>
      </c>
    </row>
    <row r="46" spans="1:13" x14ac:dyDescent="0.25">
      <c r="A46" s="7">
        <v>349</v>
      </c>
      <c r="B46" s="7">
        <v>68</v>
      </c>
      <c r="C46" s="7">
        <v>4</v>
      </c>
      <c r="D46" s="7">
        <v>12964.46</v>
      </c>
      <c r="E46" s="7">
        <v>2972.0770000000002</v>
      </c>
      <c r="F46" s="7">
        <v>1.639761</v>
      </c>
      <c r="G46" s="7">
        <v>2.1332870000000002</v>
      </c>
      <c r="H46" s="7">
        <v>5.5458959999999999</v>
      </c>
      <c r="I46" s="7">
        <v>0.87136950000000002</v>
      </c>
      <c r="J46" s="7" t="s">
        <v>27</v>
      </c>
      <c r="K46" s="7" t="s">
        <v>15</v>
      </c>
      <c r="L46" s="7" t="s">
        <v>15</v>
      </c>
      <c r="M46" s="7" t="s">
        <v>28</v>
      </c>
    </row>
    <row r="47" spans="1:13" x14ac:dyDescent="0.25">
      <c r="A47" s="7">
        <v>352</v>
      </c>
      <c r="B47" s="7">
        <v>71</v>
      </c>
      <c r="C47" s="7">
        <v>4</v>
      </c>
      <c r="D47" s="7">
        <v>13007.28</v>
      </c>
      <c r="E47" s="7">
        <v>2974.607</v>
      </c>
      <c r="F47" s="7">
        <v>0.83658129999999997</v>
      </c>
      <c r="G47" s="7">
        <v>0.53332170000000001</v>
      </c>
      <c r="H47" s="7">
        <v>2.8491590000000002</v>
      </c>
      <c r="I47" s="7">
        <v>0.82537669999999996</v>
      </c>
      <c r="J47" s="7" t="s">
        <v>27</v>
      </c>
      <c r="K47" s="7" t="s">
        <v>26</v>
      </c>
      <c r="L47" s="7" t="s">
        <v>26</v>
      </c>
      <c r="M47" s="7" t="s">
        <v>28</v>
      </c>
    </row>
    <row r="48" spans="1:13" x14ac:dyDescent="0.25">
      <c r="A48" s="7">
        <v>353</v>
      </c>
      <c r="B48" s="7">
        <v>72</v>
      </c>
      <c r="C48" s="7">
        <v>4</v>
      </c>
      <c r="D48" s="7">
        <v>13001.27</v>
      </c>
      <c r="E48" s="7">
        <v>2975.5459999999998</v>
      </c>
      <c r="F48" s="7">
        <v>2.1490649999999998</v>
      </c>
      <c r="G48" s="7">
        <v>3.3861699999999999</v>
      </c>
      <c r="H48" s="7">
        <v>7.9508599999999996</v>
      </c>
      <c r="I48" s="7">
        <v>0.67294089999999995</v>
      </c>
      <c r="J48" s="7" t="s">
        <v>27</v>
      </c>
      <c r="K48" s="7" t="s">
        <v>26</v>
      </c>
      <c r="L48" s="7" t="s">
        <v>26</v>
      </c>
      <c r="M48" s="7" t="s">
        <v>28</v>
      </c>
    </row>
    <row r="49" spans="1:13" x14ac:dyDescent="0.25">
      <c r="A49" s="7">
        <v>355</v>
      </c>
      <c r="B49" s="7">
        <v>74</v>
      </c>
      <c r="C49" s="7">
        <v>4</v>
      </c>
      <c r="D49" s="7">
        <v>13039.27</v>
      </c>
      <c r="E49" s="7">
        <v>2976.288</v>
      </c>
      <c r="F49" s="7">
        <v>1.649972</v>
      </c>
      <c r="G49" s="7">
        <v>1.879324</v>
      </c>
      <c r="H49" s="7">
        <v>6.1740810000000002</v>
      </c>
      <c r="I49" s="7">
        <v>0.61937469999999994</v>
      </c>
      <c r="J49" s="7" t="s">
        <v>13</v>
      </c>
      <c r="K49" s="7" t="s">
        <v>26</v>
      </c>
      <c r="L49" s="7" t="s">
        <v>13</v>
      </c>
      <c r="M49" s="7" t="s">
        <v>28</v>
      </c>
    </row>
    <row r="50" spans="1:13" x14ac:dyDescent="0.25">
      <c r="A50" s="7">
        <v>360</v>
      </c>
      <c r="B50" s="7">
        <v>79</v>
      </c>
      <c r="C50" s="7">
        <v>4</v>
      </c>
      <c r="D50" s="7">
        <v>13004.05</v>
      </c>
      <c r="E50" s="7">
        <v>2979.0790000000002</v>
      </c>
      <c r="F50" s="7">
        <v>1.089329</v>
      </c>
      <c r="G50" s="7">
        <v>0.94812759999999996</v>
      </c>
      <c r="H50" s="7">
        <v>3.6613370000000001</v>
      </c>
      <c r="I50" s="7">
        <v>0.88855390000000001</v>
      </c>
      <c r="J50" s="7" t="s">
        <v>27</v>
      </c>
      <c r="K50" s="7" t="s">
        <v>26</v>
      </c>
      <c r="L50" s="7" t="s">
        <v>26</v>
      </c>
      <c r="M50" s="7" t="s">
        <v>28</v>
      </c>
    </row>
    <row r="51" spans="1:13" x14ac:dyDescent="0.25">
      <c r="A51" s="7">
        <v>362</v>
      </c>
      <c r="B51" s="7">
        <v>81</v>
      </c>
      <c r="C51" s="7">
        <v>4</v>
      </c>
      <c r="D51" s="7">
        <v>13041.21</v>
      </c>
      <c r="E51" s="7">
        <v>2980.1529999999998</v>
      </c>
      <c r="F51" s="7">
        <v>0.84164700000000003</v>
      </c>
      <c r="G51" s="7">
        <v>0.52485630000000005</v>
      </c>
      <c r="H51" s="7">
        <v>2.772948</v>
      </c>
      <c r="I51" s="7">
        <v>0.85753829999999998</v>
      </c>
      <c r="J51" s="7" t="s">
        <v>27</v>
      </c>
      <c r="K51" s="7" t="s">
        <v>26</v>
      </c>
      <c r="L51" s="7" t="s">
        <v>26</v>
      </c>
      <c r="M51" s="7" t="s">
        <v>28</v>
      </c>
    </row>
    <row r="52" spans="1:13" x14ac:dyDescent="0.25">
      <c r="A52" s="7">
        <v>365</v>
      </c>
      <c r="B52" s="7">
        <v>84</v>
      </c>
      <c r="C52" s="7">
        <v>4</v>
      </c>
      <c r="D52" s="7">
        <v>13006.23</v>
      </c>
      <c r="E52" s="7">
        <v>2981.8139999999999</v>
      </c>
      <c r="F52" s="7">
        <v>1.065768</v>
      </c>
      <c r="G52" s="7">
        <v>0.87193880000000001</v>
      </c>
      <c r="H52" s="7">
        <v>3.4773450000000001</v>
      </c>
      <c r="I52" s="7">
        <v>0.90591350000000004</v>
      </c>
      <c r="J52" s="7" t="s">
        <v>27</v>
      </c>
      <c r="K52" s="7" t="s">
        <v>26</v>
      </c>
      <c r="L52" s="7" t="s">
        <v>26</v>
      </c>
      <c r="M52" s="7" t="s">
        <v>28</v>
      </c>
    </row>
    <row r="53" spans="1:13" x14ac:dyDescent="0.25">
      <c r="A53" s="7">
        <v>374</v>
      </c>
      <c r="B53" s="7">
        <v>93</v>
      </c>
      <c r="C53" s="7">
        <v>4</v>
      </c>
      <c r="D53" s="7">
        <v>12914.91</v>
      </c>
      <c r="E53" s="7">
        <v>2985.2550000000001</v>
      </c>
      <c r="F53" s="7">
        <v>6.6397279999999999</v>
      </c>
      <c r="G53" s="7">
        <v>34.970669999999998</v>
      </c>
      <c r="H53" s="7">
        <v>25.66093</v>
      </c>
      <c r="I53" s="7">
        <v>0.66719949999999995</v>
      </c>
      <c r="J53" s="7" t="s">
        <v>26</v>
      </c>
      <c r="K53" s="7" t="s">
        <v>26</v>
      </c>
      <c r="L53" s="7" t="s">
        <v>26</v>
      </c>
      <c r="M53" s="7" t="s">
        <v>46</v>
      </c>
    </row>
    <row r="54" spans="1:13" x14ac:dyDescent="0.25">
      <c r="A54" s="7">
        <v>376</v>
      </c>
      <c r="B54" s="7">
        <v>95</v>
      </c>
      <c r="C54" s="7">
        <v>4</v>
      </c>
      <c r="D54" s="7">
        <v>13020.74</v>
      </c>
      <c r="E54" s="7">
        <v>2989.6439999999998</v>
      </c>
      <c r="F54" s="7">
        <v>1.501997</v>
      </c>
      <c r="G54" s="7">
        <v>1.540707</v>
      </c>
      <c r="H54" s="7">
        <v>5.222556</v>
      </c>
      <c r="I54" s="7">
        <v>0.70965999999999996</v>
      </c>
      <c r="J54" s="7" t="s">
        <v>27</v>
      </c>
      <c r="K54" s="7" t="s">
        <v>26</v>
      </c>
      <c r="L54" s="7" t="s">
        <v>26</v>
      </c>
      <c r="M54" s="7" t="s">
        <v>28</v>
      </c>
    </row>
    <row r="55" spans="1:13" x14ac:dyDescent="0.25">
      <c r="A55" s="7">
        <v>378</v>
      </c>
      <c r="B55" s="7">
        <v>97</v>
      </c>
      <c r="C55" s="7">
        <v>4</v>
      </c>
      <c r="D55" s="7">
        <v>12959.37</v>
      </c>
      <c r="E55" s="7">
        <v>2989.549</v>
      </c>
      <c r="F55" s="7">
        <v>1.36558</v>
      </c>
      <c r="G55" s="7">
        <v>1.422191</v>
      </c>
      <c r="H55" s="7">
        <v>4.6575059999999997</v>
      </c>
      <c r="I55" s="7">
        <v>0.82365929999999998</v>
      </c>
      <c r="J55" s="7" t="s">
        <v>27</v>
      </c>
      <c r="K55" s="7" t="s">
        <v>27</v>
      </c>
      <c r="L55" s="7" t="s">
        <v>27</v>
      </c>
      <c r="M55" s="7"/>
    </row>
    <row r="56" spans="1:13" x14ac:dyDescent="0.25">
      <c r="A56" s="7">
        <v>379</v>
      </c>
      <c r="B56" s="7">
        <v>98</v>
      </c>
      <c r="C56" s="7">
        <v>4</v>
      </c>
      <c r="D56" s="7">
        <v>12973.05</v>
      </c>
      <c r="E56" s="7">
        <v>2990.114</v>
      </c>
      <c r="F56" s="7">
        <v>0.85659249999999998</v>
      </c>
      <c r="G56" s="7">
        <v>0.56718349999999995</v>
      </c>
      <c r="H56" s="7">
        <v>2.8491590000000002</v>
      </c>
      <c r="I56" s="7">
        <v>0.87778160000000005</v>
      </c>
      <c r="J56" s="7" t="s">
        <v>27</v>
      </c>
      <c r="K56" s="7" t="s">
        <v>26</v>
      </c>
      <c r="L56" s="7" t="s">
        <v>26</v>
      </c>
      <c r="M56" s="7" t="s">
        <v>47</v>
      </c>
    </row>
    <row r="57" spans="1:13" x14ac:dyDescent="0.25">
      <c r="A57" s="7">
        <v>380</v>
      </c>
      <c r="B57" s="7">
        <v>99</v>
      </c>
      <c r="C57" s="7">
        <v>4</v>
      </c>
      <c r="D57" s="7">
        <v>13010.75</v>
      </c>
      <c r="E57" s="7">
        <v>2990.0929999999998</v>
      </c>
      <c r="F57" s="7">
        <v>1.5722210000000001</v>
      </c>
      <c r="G57" s="7">
        <v>1.879324</v>
      </c>
      <c r="H57" s="7">
        <v>5.2856920000000001</v>
      </c>
      <c r="I57" s="7">
        <v>0.84507339999999997</v>
      </c>
      <c r="J57" s="7" t="s">
        <v>27</v>
      </c>
      <c r="K57" s="7" t="s">
        <v>26</v>
      </c>
      <c r="L57" s="7" t="s">
        <v>26</v>
      </c>
      <c r="M57" s="7" t="s">
        <v>28</v>
      </c>
    </row>
    <row r="58" spans="1:13" x14ac:dyDescent="0.25">
      <c r="A58" s="7">
        <v>381</v>
      </c>
      <c r="B58" s="7">
        <v>100</v>
      </c>
      <c r="C58" s="7">
        <v>4</v>
      </c>
      <c r="D58" s="7">
        <v>12914.97</v>
      </c>
      <c r="E58" s="7">
        <v>2985.1640000000002</v>
      </c>
      <c r="F58" s="7">
        <v>11.641540000000001</v>
      </c>
      <c r="G58" s="7">
        <v>107.5448</v>
      </c>
      <c r="H58" s="7">
        <v>47.597380000000001</v>
      </c>
      <c r="I58" s="7">
        <v>0.59637519999999999</v>
      </c>
      <c r="J58" s="7" t="s">
        <v>26</v>
      </c>
      <c r="K58" s="7" t="s">
        <v>26</v>
      </c>
      <c r="L58" s="7" t="s">
        <v>26</v>
      </c>
      <c r="M58" s="7" t="s">
        <v>46</v>
      </c>
    </row>
    <row r="59" spans="1:13" x14ac:dyDescent="0.25">
      <c r="A59" s="7">
        <v>382</v>
      </c>
      <c r="B59" s="7">
        <v>101</v>
      </c>
      <c r="C59" s="7">
        <v>4</v>
      </c>
      <c r="D59" s="7">
        <v>12929.53</v>
      </c>
      <c r="E59" s="7">
        <v>2990.7020000000002</v>
      </c>
      <c r="F59" s="7">
        <v>1.9356979999999999</v>
      </c>
      <c r="G59" s="7">
        <v>2.9544329999999999</v>
      </c>
      <c r="H59" s="7">
        <v>7.1386820000000002</v>
      </c>
      <c r="I59" s="7">
        <v>0.72834049999999995</v>
      </c>
      <c r="J59" s="7" t="s">
        <v>25</v>
      </c>
      <c r="K59" s="7" t="s">
        <v>25</v>
      </c>
      <c r="L59" s="7" t="s">
        <v>25</v>
      </c>
      <c r="M59" s="7" t="s">
        <v>48</v>
      </c>
    </row>
    <row r="60" spans="1:13" x14ac:dyDescent="0.25">
      <c r="A60" s="7">
        <v>384</v>
      </c>
      <c r="B60" s="7">
        <v>103</v>
      </c>
      <c r="C60" s="7">
        <v>4</v>
      </c>
      <c r="D60" s="7">
        <v>12952.97</v>
      </c>
      <c r="E60" s="7">
        <v>2990.4560000000001</v>
      </c>
      <c r="F60" s="7">
        <v>3.3308759999999999</v>
      </c>
      <c r="G60" s="7">
        <v>8.8125079999999993</v>
      </c>
      <c r="H60" s="7">
        <v>11.53598</v>
      </c>
      <c r="I60" s="7">
        <v>0.83192949999999999</v>
      </c>
      <c r="J60" s="7" t="s">
        <v>15</v>
      </c>
      <c r="K60" s="7" t="s">
        <v>15</v>
      </c>
      <c r="L60" s="7" t="s">
        <v>15</v>
      </c>
      <c r="M60" s="7" t="s">
        <v>28</v>
      </c>
    </row>
    <row r="61" spans="1:13" x14ac:dyDescent="0.25">
      <c r="A61" s="7">
        <v>385</v>
      </c>
      <c r="B61" s="7">
        <v>104</v>
      </c>
      <c r="C61" s="7">
        <v>4</v>
      </c>
      <c r="D61" s="7">
        <v>13025.35</v>
      </c>
      <c r="E61" s="7">
        <v>2989.1559999999999</v>
      </c>
      <c r="F61" s="7">
        <v>4.6288299999999998</v>
      </c>
      <c r="G61" s="7">
        <v>16.92238</v>
      </c>
      <c r="H61" s="7">
        <v>17.18966</v>
      </c>
      <c r="I61" s="7">
        <v>0.71948769999999995</v>
      </c>
      <c r="J61" s="7" t="s">
        <v>26</v>
      </c>
      <c r="K61" s="7" t="s">
        <v>26</v>
      </c>
      <c r="L61" s="7" t="s">
        <v>26</v>
      </c>
      <c r="M61" s="7" t="s">
        <v>48</v>
      </c>
    </row>
    <row r="62" spans="1:13" x14ac:dyDescent="0.25">
      <c r="A62" s="7">
        <v>396</v>
      </c>
      <c r="B62" s="7">
        <v>115</v>
      </c>
      <c r="C62" s="7">
        <v>4</v>
      </c>
      <c r="D62" s="7">
        <v>13008.34</v>
      </c>
      <c r="E62" s="7">
        <v>2997.201</v>
      </c>
      <c r="F62" s="7">
        <v>2.6980390000000001</v>
      </c>
      <c r="G62" s="7">
        <v>5.9765899999999998</v>
      </c>
      <c r="H62" s="7">
        <v>9.3596550000000001</v>
      </c>
      <c r="I62" s="7">
        <v>0.85709729999999995</v>
      </c>
      <c r="J62" s="7" t="s">
        <v>27</v>
      </c>
      <c r="K62" s="7" t="s">
        <v>13</v>
      </c>
      <c r="L62" s="7" t="s">
        <v>13</v>
      </c>
      <c r="M62" s="7"/>
    </row>
    <row r="63" spans="1:13" x14ac:dyDescent="0.25">
      <c r="A63" s="7">
        <v>411</v>
      </c>
      <c r="B63" s="7">
        <v>130</v>
      </c>
      <c r="C63" s="7">
        <v>4</v>
      </c>
      <c r="D63" s="7">
        <v>12982.04</v>
      </c>
      <c r="E63" s="7">
        <v>3006.6489999999999</v>
      </c>
      <c r="F63" s="7">
        <v>2.6100059999999998</v>
      </c>
      <c r="G63" s="7">
        <v>5.38401</v>
      </c>
      <c r="H63" s="7">
        <v>8.8392490000000006</v>
      </c>
      <c r="I63" s="7">
        <v>0.86570820000000004</v>
      </c>
      <c r="J63" s="7" t="s">
        <v>13</v>
      </c>
      <c r="K63" s="7" t="s">
        <v>13</v>
      </c>
      <c r="L63" s="7" t="s">
        <v>13</v>
      </c>
      <c r="M63" s="7"/>
    </row>
    <row r="64" spans="1:13" x14ac:dyDescent="0.25">
      <c r="A64" s="7">
        <v>413</v>
      </c>
      <c r="B64" s="7">
        <v>132</v>
      </c>
      <c r="C64" s="7">
        <v>4</v>
      </c>
      <c r="D64" s="7">
        <v>12943.88</v>
      </c>
      <c r="E64" s="7">
        <v>3008.8510000000001</v>
      </c>
      <c r="F64" s="7">
        <v>1.3409219999999999</v>
      </c>
      <c r="G64" s="7">
        <v>1.4052610000000001</v>
      </c>
      <c r="H64" s="7">
        <v>4.4419469999999999</v>
      </c>
      <c r="I64" s="7">
        <v>0.89476009999999995</v>
      </c>
      <c r="J64" s="7" t="s">
        <v>13</v>
      </c>
      <c r="K64" s="7" t="s">
        <v>13</v>
      </c>
      <c r="L64" s="7" t="s">
        <v>13</v>
      </c>
      <c r="M64" s="7"/>
    </row>
    <row r="65" spans="1:13" x14ac:dyDescent="0.25">
      <c r="A65" s="7">
        <v>414</v>
      </c>
      <c r="B65" s="7">
        <v>133</v>
      </c>
      <c r="C65" s="7">
        <v>4</v>
      </c>
      <c r="D65" s="7">
        <v>12972.46</v>
      </c>
      <c r="E65" s="7">
        <v>3008.6239999999998</v>
      </c>
      <c r="F65" s="7">
        <v>1.70163</v>
      </c>
      <c r="G65" s="7">
        <v>2.3703189999999998</v>
      </c>
      <c r="H65" s="7">
        <v>6.0663020000000003</v>
      </c>
      <c r="I65" s="7">
        <v>0.80919870000000005</v>
      </c>
      <c r="J65" s="7" t="s">
        <v>27</v>
      </c>
      <c r="K65" s="7" t="s">
        <v>26</v>
      </c>
      <c r="L65" s="7" t="s">
        <v>26</v>
      </c>
      <c r="M65" s="7" t="s">
        <v>28</v>
      </c>
    </row>
    <row r="66" spans="1:13" x14ac:dyDescent="0.25">
      <c r="A66" s="7">
        <v>421</v>
      </c>
      <c r="B66" s="7">
        <v>140</v>
      </c>
      <c r="C66" s="7">
        <v>4</v>
      </c>
      <c r="D66" s="7">
        <v>12926.48</v>
      </c>
      <c r="E66" s="7">
        <v>3012.386</v>
      </c>
      <c r="F66" s="7">
        <v>1.3428070000000001</v>
      </c>
      <c r="G66" s="7">
        <v>1.371399</v>
      </c>
      <c r="H66" s="7">
        <v>4.8099290000000003</v>
      </c>
      <c r="I66" s="7">
        <v>0.74470239999999999</v>
      </c>
      <c r="J66" s="7" t="s">
        <v>25</v>
      </c>
      <c r="K66" s="7" t="s">
        <v>25</v>
      </c>
      <c r="L66" s="7" t="s">
        <v>25</v>
      </c>
      <c r="M66" s="7" t="s">
        <v>29</v>
      </c>
    </row>
    <row r="67" spans="1:13" x14ac:dyDescent="0.25">
      <c r="A67" s="7">
        <v>430</v>
      </c>
      <c r="B67" s="7">
        <v>149</v>
      </c>
      <c r="C67" s="7">
        <v>4</v>
      </c>
      <c r="D67" s="7">
        <v>12970.17</v>
      </c>
      <c r="E67" s="7">
        <v>3016.6039999999998</v>
      </c>
      <c r="F67" s="7">
        <v>4.0979890000000001</v>
      </c>
      <c r="G67" s="7">
        <v>13.1722</v>
      </c>
      <c r="H67" s="7">
        <v>14.12494</v>
      </c>
      <c r="I67" s="7">
        <v>0.82943330000000004</v>
      </c>
      <c r="J67" s="7" t="s">
        <v>27</v>
      </c>
      <c r="K67" s="7" t="s">
        <v>26</v>
      </c>
      <c r="L67" s="7" t="s">
        <v>26</v>
      </c>
      <c r="M67" s="7" t="s">
        <v>28</v>
      </c>
    </row>
    <row r="68" spans="1:13" x14ac:dyDescent="0.25">
      <c r="A68" s="7">
        <v>437</v>
      </c>
      <c r="B68" s="7">
        <v>156</v>
      </c>
      <c r="C68" s="7">
        <v>4</v>
      </c>
      <c r="D68" s="7">
        <v>12961.64</v>
      </c>
      <c r="E68" s="7">
        <v>3018.8629999999998</v>
      </c>
      <c r="F68" s="7">
        <v>5.5633150000000002</v>
      </c>
      <c r="G68" s="7">
        <v>21.155100000000001</v>
      </c>
      <c r="H68" s="7">
        <v>22.259789999999999</v>
      </c>
      <c r="I68" s="7">
        <v>0.53637579999999996</v>
      </c>
      <c r="J68" s="7" t="s">
        <v>26</v>
      </c>
      <c r="K68" s="7" t="s">
        <v>25</v>
      </c>
      <c r="L68" s="7" t="s">
        <v>25</v>
      </c>
      <c r="M68" s="7" t="s">
        <v>50</v>
      </c>
    </row>
    <row r="69" spans="1:13" x14ac:dyDescent="0.25">
      <c r="A69" s="7">
        <v>442</v>
      </c>
      <c r="B69" s="7">
        <v>161</v>
      </c>
      <c r="C69" s="7">
        <v>4</v>
      </c>
      <c r="D69" s="7">
        <v>12996.92</v>
      </c>
      <c r="E69" s="7">
        <v>3020.8530000000001</v>
      </c>
      <c r="F69" s="7">
        <v>6.4784870000000003</v>
      </c>
      <c r="G69" s="7">
        <v>34.445810000000002</v>
      </c>
      <c r="H69" s="7">
        <v>23.237469999999998</v>
      </c>
      <c r="I69" s="7">
        <v>0.80141079999999998</v>
      </c>
      <c r="J69" s="7" t="s">
        <v>26</v>
      </c>
      <c r="K69" s="7" t="s">
        <v>13</v>
      </c>
      <c r="L69" s="7" t="s">
        <v>13</v>
      </c>
      <c r="M69" s="7" t="s">
        <v>45</v>
      </c>
    </row>
    <row r="70" spans="1:13" x14ac:dyDescent="0.25">
      <c r="A70" s="7">
        <v>445</v>
      </c>
      <c r="B70" s="7">
        <v>164</v>
      </c>
      <c r="C70" s="7">
        <v>4</v>
      </c>
      <c r="D70" s="7">
        <v>12969.32</v>
      </c>
      <c r="E70" s="7">
        <v>3025.5369999999998</v>
      </c>
      <c r="F70" s="7">
        <v>2.038173</v>
      </c>
      <c r="G70" s="7">
        <v>3.3353769999999998</v>
      </c>
      <c r="H70" s="7">
        <v>7.0624700000000002</v>
      </c>
      <c r="I70" s="7">
        <v>0.84009440000000002</v>
      </c>
      <c r="J70" s="7" t="s">
        <v>27</v>
      </c>
      <c r="K70" s="7" t="s">
        <v>26</v>
      </c>
      <c r="L70" s="7" t="s">
        <v>26</v>
      </c>
      <c r="M70" s="7"/>
    </row>
    <row r="71" spans="1:13" x14ac:dyDescent="0.25">
      <c r="A71" s="7">
        <v>456</v>
      </c>
      <c r="B71" s="7">
        <v>175</v>
      </c>
      <c r="C71" s="7">
        <v>4</v>
      </c>
      <c r="D71" s="7">
        <v>12913.61</v>
      </c>
      <c r="E71" s="7">
        <v>3031.0549999999998</v>
      </c>
      <c r="F71" s="7">
        <v>3.3335699999999999</v>
      </c>
      <c r="G71" s="7">
        <v>6.9755099999999999</v>
      </c>
      <c r="H71" s="7">
        <v>14.23272</v>
      </c>
      <c r="I71" s="7">
        <v>0.43260989999999999</v>
      </c>
      <c r="J71" s="7" t="s">
        <v>13</v>
      </c>
      <c r="K71" s="7" t="s">
        <v>13</v>
      </c>
      <c r="L71" s="7" t="s">
        <v>13</v>
      </c>
      <c r="M71" s="7" t="s">
        <v>45</v>
      </c>
    </row>
    <row r="72" spans="1:13" x14ac:dyDescent="0.25">
      <c r="A72" s="7">
        <v>458</v>
      </c>
      <c r="B72" s="7">
        <v>177</v>
      </c>
      <c r="C72" s="7">
        <v>4</v>
      </c>
      <c r="D72" s="7">
        <v>12989.69</v>
      </c>
      <c r="E72" s="7">
        <v>3032.098</v>
      </c>
      <c r="F72" s="7">
        <v>2.8344140000000002</v>
      </c>
      <c r="G72" s="7">
        <v>6.1458979999999999</v>
      </c>
      <c r="H72" s="7">
        <v>11.351990000000001</v>
      </c>
      <c r="I72" s="7">
        <v>0.59915269999999998</v>
      </c>
      <c r="J72" s="7" t="s">
        <v>27</v>
      </c>
      <c r="K72" s="7" t="s">
        <v>13</v>
      </c>
      <c r="L72" s="7" t="s">
        <v>13</v>
      </c>
      <c r="M72" s="7"/>
    </row>
    <row r="73" spans="1:13" x14ac:dyDescent="0.25">
      <c r="A73" s="7">
        <v>465</v>
      </c>
      <c r="B73" s="7">
        <v>184</v>
      </c>
      <c r="C73" s="7">
        <v>4</v>
      </c>
      <c r="D73" s="7">
        <v>13016.82</v>
      </c>
      <c r="E73" s="7">
        <v>3035.6370000000002</v>
      </c>
      <c r="F73" s="7">
        <v>2.997976</v>
      </c>
      <c r="G73" s="7">
        <v>7.4749699999999999</v>
      </c>
      <c r="H73" s="7">
        <v>11.01558</v>
      </c>
      <c r="I73" s="7">
        <v>0.77391140000000003</v>
      </c>
      <c r="J73" s="7" t="s">
        <v>26</v>
      </c>
      <c r="K73" s="7" t="s">
        <v>26</v>
      </c>
      <c r="L73" s="7" t="s">
        <v>26</v>
      </c>
      <c r="M73" s="7" t="s">
        <v>49</v>
      </c>
    </row>
    <row r="74" spans="1:13" x14ac:dyDescent="0.25">
      <c r="A74" s="7">
        <v>475</v>
      </c>
      <c r="B74" s="7">
        <v>194</v>
      </c>
      <c r="C74" s="7">
        <v>4</v>
      </c>
      <c r="D74" s="7">
        <v>12945.9</v>
      </c>
      <c r="E74" s="7">
        <v>3042.8</v>
      </c>
      <c r="F74" s="7">
        <v>1.569574</v>
      </c>
      <c r="G74" s="7">
        <v>1.896255</v>
      </c>
      <c r="H74" s="7">
        <v>5.2856920000000001</v>
      </c>
      <c r="I74" s="7">
        <v>0.85268659999999996</v>
      </c>
      <c r="J74" s="7" t="s">
        <v>13</v>
      </c>
      <c r="K74" s="7" t="s">
        <v>13</v>
      </c>
      <c r="L74" s="7" t="s">
        <v>13</v>
      </c>
      <c r="M74" s="7" t="s">
        <v>51</v>
      </c>
    </row>
    <row r="75" spans="1:13" x14ac:dyDescent="0.25">
      <c r="A75" s="7">
        <v>477</v>
      </c>
      <c r="B75" s="7">
        <v>196</v>
      </c>
      <c r="C75" s="7">
        <v>4</v>
      </c>
      <c r="D75" s="7">
        <v>12988.06</v>
      </c>
      <c r="E75" s="7">
        <v>3042.2359999999999</v>
      </c>
      <c r="F75" s="7">
        <v>3.518135</v>
      </c>
      <c r="G75" s="7">
        <v>9.3712250000000008</v>
      </c>
      <c r="H75" s="7">
        <v>15.0449</v>
      </c>
      <c r="I75" s="7">
        <v>0.52013279999999995</v>
      </c>
      <c r="J75" s="7" t="s">
        <v>15</v>
      </c>
      <c r="K75" s="7" t="s">
        <v>15</v>
      </c>
      <c r="L75" s="7" t="s">
        <v>15</v>
      </c>
      <c r="M75" s="7" t="s">
        <v>51</v>
      </c>
    </row>
    <row r="76" spans="1:13" x14ac:dyDescent="0.25">
      <c r="A76" s="7">
        <v>487</v>
      </c>
      <c r="B76" s="7">
        <v>1</v>
      </c>
      <c r="C76" s="7">
        <v>5</v>
      </c>
      <c r="D76" s="7">
        <v>23999.74</v>
      </c>
      <c r="E76" s="7">
        <v>5806.8130000000001</v>
      </c>
      <c r="F76" s="7">
        <v>1.362438</v>
      </c>
      <c r="G76" s="7">
        <v>1.4052610000000001</v>
      </c>
      <c r="H76" s="7">
        <v>5.222556</v>
      </c>
      <c r="I76" s="7">
        <v>0.64727230000000002</v>
      </c>
      <c r="J76" s="7" t="s">
        <v>13</v>
      </c>
      <c r="K76" s="7" t="s">
        <v>13</v>
      </c>
      <c r="L76" s="7" t="s">
        <v>13</v>
      </c>
      <c r="M76" s="7"/>
    </row>
    <row r="77" spans="1:13" x14ac:dyDescent="0.25">
      <c r="A77" s="7">
        <v>489</v>
      </c>
      <c r="B77" s="7">
        <v>3</v>
      </c>
      <c r="C77" s="7">
        <v>5</v>
      </c>
      <c r="D77" s="7">
        <v>24034.83</v>
      </c>
      <c r="E77" s="7">
        <v>5807.81</v>
      </c>
      <c r="F77" s="7">
        <v>2.4309379999999998</v>
      </c>
      <c r="G77" s="7">
        <v>4.5797949999999998</v>
      </c>
      <c r="H77" s="7">
        <v>8.395054</v>
      </c>
      <c r="I77" s="7">
        <v>0.81638569999999999</v>
      </c>
      <c r="J77" s="7" t="s">
        <v>25</v>
      </c>
      <c r="K77" s="7" t="s">
        <v>26</v>
      </c>
      <c r="L77" s="7" t="s">
        <v>26</v>
      </c>
      <c r="M77" s="7" t="s">
        <v>52</v>
      </c>
    </row>
    <row r="78" spans="1:13" x14ac:dyDescent="0.25">
      <c r="A78" s="7">
        <v>493</v>
      </c>
      <c r="B78" s="7">
        <v>7</v>
      </c>
      <c r="C78" s="7">
        <v>5</v>
      </c>
      <c r="D78" s="7">
        <v>24024.560000000001</v>
      </c>
      <c r="E78" s="7">
        <v>5809.5889999999999</v>
      </c>
      <c r="F78" s="7">
        <v>1.661089</v>
      </c>
      <c r="G78" s="7">
        <v>2.1840799999999998</v>
      </c>
      <c r="H78" s="7">
        <v>5.5458959999999999</v>
      </c>
      <c r="I78" s="7">
        <v>0.89211640000000003</v>
      </c>
      <c r="J78" s="7" t="s">
        <v>15</v>
      </c>
      <c r="K78" s="7" t="s">
        <v>15</v>
      </c>
      <c r="L78" s="7" t="s">
        <v>15</v>
      </c>
      <c r="M78" s="7"/>
    </row>
    <row r="79" spans="1:13" x14ac:dyDescent="0.25">
      <c r="A79" s="7">
        <v>496</v>
      </c>
      <c r="B79" s="7">
        <v>10</v>
      </c>
      <c r="C79" s="7">
        <v>5</v>
      </c>
      <c r="D79" s="7">
        <v>24037.16</v>
      </c>
      <c r="E79" s="7">
        <v>5811.7870000000003</v>
      </c>
      <c r="F79" s="7">
        <v>3.1418180000000002</v>
      </c>
      <c r="G79" s="7">
        <v>7.4834360000000002</v>
      </c>
      <c r="H79" s="7">
        <v>10.35582</v>
      </c>
      <c r="I79" s="7">
        <v>0.87665369999999998</v>
      </c>
      <c r="J79" s="7" t="s">
        <v>25</v>
      </c>
      <c r="K79" s="7" t="s">
        <v>25</v>
      </c>
      <c r="L79" s="7" t="s">
        <v>25</v>
      </c>
      <c r="M79" s="7" t="s">
        <v>35</v>
      </c>
    </row>
    <row r="80" spans="1:13" x14ac:dyDescent="0.25">
      <c r="A80" s="7">
        <v>505</v>
      </c>
      <c r="B80" s="7">
        <v>19</v>
      </c>
      <c r="C80" s="7">
        <v>5</v>
      </c>
      <c r="D80" s="7">
        <v>23930.52</v>
      </c>
      <c r="E80" s="7">
        <v>5825.5950000000003</v>
      </c>
      <c r="F80" s="7">
        <v>2.3690319999999998</v>
      </c>
      <c r="G80" s="7">
        <v>4.021077</v>
      </c>
      <c r="H80" s="7">
        <v>7.9192910000000003</v>
      </c>
      <c r="I80" s="7">
        <v>0.80550089999999996</v>
      </c>
      <c r="J80" s="7" t="s">
        <v>15</v>
      </c>
      <c r="K80" s="7" t="s">
        <v>15</v>
      </c>
      <c r="L80" s="7" t="s">
        <v>15</v>
      </c>
      <c r="M80" s="7"/>
    </row>
    <row r="81" spans="1:13" x14ac:dyDescent="0.25">
      <c r="A81" s="7">
        <v>519</v>
      </c>
      <c r="B81" s="7">
        <v>33</v>
      </c>
      <c r="C81" s="7">
        <v>5</v>
      </c>
      <c r="D81" s="7">
        <v>24013.84</v>
      </c>
      <c r="E81" s="7">
        <v>5836.277</v>
      </c>
      <c r="F81" s="7">
        <v>1.9224239999999999</v>
      </c>
      <c r="G81" s="7">
        <v>2.8443830000000001</v>
      </c>
      <c r="H81" s="7">
        <v>6.434285</v>
      </c>
      <c r="I81" s="7">
        <v>0.8631453</v>
      </c>
      <c r="J81" s="7" t="s">
        <v>27</v>
      </c>
      <c r="K81" s="7" t="s">
        <v>26</v>
      </c>
      <c r="L81" s="7" t="s">
        <v>26</v>
      </c>
      <c r="M81" s="7" t="s">
        <v>28</v>
      </c>
    </row>
    <row r="82" spans="1:13" x14ac:dyDescent="0.25">
      <c r="A82" s="7">
        <v>525</v>
      </c>
      <c r="B82" s="7">
        <v>39</v>
      </c>
      <c r="C82" s="7">
        <v>5</v>
      </c>
      <c r="D82" s="7">
        <v>24015.119999999999</v>
      </c>
      <c r="E82" s="7">
        <v>5840.1930000000002</v>
      </c>
      <c r="F82" s="7">
        <v>1.9206510000000001</v>
      </c>
      <c r="G82" s="7">
        <v>2.8697789999999999</v>
      </c>
      <c r="H82" s="7">
        <v>6.402717</v>
      </c>
      <c r="I82" s="7">
        <v>0.87946049999999998</v>
      </c>
      <c r="J82" s="7" t="s">
        <v>27</v>
      </c>
      <c r="K82" s="7" t="s">
        <v>26</v>
      </c>
      <c r="L82" s="7" t="s">
        <v>26</v>
      </c>
      <c r="M82" s="7" t="s">
        <v>28</v>
      </c>
    </row>
    <row r="83" spans="1:13" x14ac:dyDescent="0.25">
      <c r="A83" s="7">
        <v>547</v>
      </c>
      <c r="B83" s="7">
        <v>61</v>
      </c>
      <c r="C83" s="7">
        <v>5</v>
      </c>
      <c r="D83" s="7">
        <v>23888.67</v>
      </c>
      <c r="E83" s="7">
        <v>5854.893</v>
      </c>
      <c r="F83" s="7">
        <v>1.4509300000000001</v>
      </c>
      <c r="G83" s="7">
        <v>1.667689</v>
      </c>
      <c r="H83" s="7">
        <v>4.9939210000000003</v>
      </c>
      <c r="I83" s="7">
        <v>0.84009440000000002</v>
      </c>
      <c r="J83" s="7" t="s">
        <v>14</v>
      </c>
      <c r="K83" s="7" t="s">
        <v>14</v>
      </c>
      <c r="L83" s="7" t="s">
        <v>14</v>
      </c>
      <c r="M83" s="7" t="s">
        <v>28</v>
      </c>
    </row>
    <row r="84" spans="1:13" x14ac:dyDescent="0.25">
      <c r="A84" s="7">
        <v>549</v>
      </c>
      <c r="B84" s="7">
        <v>63</v>
      </c>
      <c r="C84" s="7">
        <v>5</v>
      </c>
      <c r="D84" s="7">
        <v>23997.040000000001</v>
      </c>
      <c r="E84" s="7">
        <v>5855.5730000000003</v>
      </c>
      <c r="F84" s="7">
        <v>1.3578969999999999</v>
      </c>
      <c r="G84" s="7">
        <v>1.4052610000000001</v>
      </c>
      <c r="H84" s="7">
        <v>4.397303</v>
      </c>
      <c r="I84" s="7">
        <v>0.91302050000000001</v>
      </c>
      <c r="J84" s="7" t="s">
        <v>27</v>
      </c>
      <c r="K84" s="7" t="s">
        <v>26</v>
      </c>
      <c r="L84" s="7" t="s">
        <v>26</v>
      </c>
      <c r="M84" s="7" t="s">
        <v>28</v>
      </c>
    </row>
    <row r="85" spans="1:13" x14ac:dyDescent="0.25">
      <c r="A85" s="7">
        <v>552</v>
      </c>
      <c r="B85" s="7">
        <v>66</v>
      </c>
      <c r="C85" s="7">
        <v>5</v>
      </c>
      <c r="D85" s="7">
        <v>23918.68</v>
      </c>
      <c r="E85" s="7">
        <v>5857.6530000000002</v>
      </c>
      <c r="F85" s="7">
        <v>1.7118679999999999</v>
      </c>
      <c r="G85" s="7">
        <v>2.1756139999999999</v>
      </c>
      <c r="H85" s="7">
        <v>5.7298869999999997</v>
      </c>
      <c r="I85" s="7">
        <v>0.83250380000000002</v>
      </c>
      <c r="J85" s="7" t="s">
        <v>13</v>
      </c>
      <c r="K85" s="7" t="s">
        <v>13</v>
      </c>
      <c r="L85" s="7" t="s">
        <v>13</v>
      </c>
      <c r="M85" s="7"/>
    </row>
    <row r="86" spans="1:13" x14ac:dyDescent="0.25">
      <c r="A86" s="7">
        <v>554</v>
      </c>
      <c r="B86" s="7">
        <v>68</v>
      </c>
      <c r="C86" s="7">
        <v>5</v>
      </c>
      <c r="D86" s="7">
        <v>24031.599999999999</v>
      </c>
      <c r="E86" s="7">
        <v>5857.5119999999997</v>
      </c>
      <c r="F86" s="7">
        <v>3.6138140000000001</v>
      </c>
      <c r="G86" s="7">
        <v>10.21777</v>
      </c>
      <c r="H86" s="7">
        <v>12.42437</v>
      </c>
      <c r="I86" s="7">
        <v>0.8315787</v>
      </c>
      <c r="J86" s="7" t="s">
        <v>15</v>
      </c>
      <c r="K86" s="7" t="s">
        <v>15</v>
      </c>
      <c r="L86" s="7" t="s">
        <v>15</v>
      </c>
      <c r="M86" s="7"/>
    </row>
    <row r="87" spans="1:13" x14ac:dyDescent="0.25">
      <c r="A87" s="7">
        <v>558</v>
      </c>
      <c r="B87" s="7">
        <v>72</v>
      </c>
      <c r="C87" s="7">
        <v>5</v>
      </c>
      <c r="D87" s="7">
        <v>23875.48</v>
      </c>
      <c r="E87" s="7">
        <v>5860.9669999999996</v>
      </c>
      <c r="F87" s="7">
        <v>0.84378180000000003</v>
      </c>
      <c r="G87" s="7">
        <v>0.49946010000000002</v>
      </c>
      <c r="H87" s="7">
        <v>3.109362</v>
      </c>
      <c r="I87" s="7">
        <v>0.64901450000000005</v>
      </c>
      <c r="J87" s="7" t="s">
        <v>27</v>
      </c>
      <c r="K87" s="7" t="s">
        <v>14</v>
      </c>
      <c r="L87" s="7" t="s">
        <v>14</v>
      </c>
      <c r="M87" s="7"/>
    </row>
    <row r="88" spans="1:13" x14ac:dyDescent="0.25">
      <c r="A88" s="7">
        <v>561</v>
      </c>
      <c r="B88" s="7">
        <v>75</v>
      </c>
      <c r="C88" s="7">
        <v>5</v>
      </c>
      <c r="D88" s="7">
        <v>23995.91</v>
      </c>
      <c r="E88" s="7">
        <v>5860.6779999999999</v>
      </c>
      <c r="F88" s="7">
        <v>3.0275859999999999</v>
      </c>
      <c r="G88" s="7">
        <v>7.2040769999999998</v>
      </c>
      <c r="H88" s="7">
        <v>10.27961</v>
      </c>
      <c r="I88" s="7">
        <v>0.85648780000000002</v>
      </c>
      <c r="J88" s="7" t="s">
        <v>13</v>
      </c>
      <c r="K88" s="7" t="s">
        <v>13</v>
      </c>
      <c r="L88" s="7" t="s">
        <v>13</v>
      </c>
      <c r="M88" s="7"/>
    </row>
    <row r="89" spans="1:13" x14ac:dyDescent="0.25">
      <c r="A89" s="7">
        <v>579</v>
      </c>
      <c r="B89" s="7">
        <v>93</v>
      </c>
      <c r="C89" s="7">
        <v>5</v>
      </c>
      <c r="D89" s="7">
        <v>23911.03</v>
      </c>
      <c r="E89" s="7">
        <v>5871.09</v>
      </c>
      <c r="F89" s="7">
        <v>1.4592639999999999</v>
      </c>
      <c r="G89" s="7">
        <v>1.6592229999999999</v>
      </c>
      <c r="H89" s="7">
        <v>4.9177090000000003</v>
      </c>
      <c r="I89" s="7">
        <v>0.86193699999999995</v>
      </c>
      <c r="J89" s="7" t="s">
        <v>13</v>
      </c>
      <c r="K89" s="7" t="s">
        <v>13</v>
      </c>
      <c r="L89" s="7" t="s">
        <v>13</v>
      </c>
      <c r="M89" s="7"/>
    </row>
    <row r="90" spans="1:13" x14ac:dyDescent="0.25">
      <c r="A90" s="7">
        <v>636</v>
      </c>
      <c r="B90" s="7">
        <v>150</v>
      </c>
      <c r="C90" s="7">
        <v>5</v>
      </c>
      <c r="D90" s="7">
        <v>23891.95</v>
      </c>
      <c r="E90" s="7">
        <v>5902.3019999999997</v>
      </c>
      <c r="F90" s="7">
        <v>1.4721630000000001</v>
      </c>
      <c r="G90" s="7">
        <v>1.693085</v>
      </c>
      <c r="H90" s="7">
        <v>4.9177090000000003</v>
      </c>
      <c r="I90" s="7">
        <v>0.87952759999999996</v>
      </c>
      <c r="J90" s="7" t="s">
        <v>27</v>
      </c>
      <c r="K90" s="7" t="s">
        <v>27</v>
      </c>
      <c r="L90" s="7" t="s">
        <v>27</v>
      </c>
      <c r="M90" s="7"/>
    </row>
    <row r="91" spans="1:13" x14ac:dyDescent="0.25">
      <c r="A91" s="7">
        <v>668</v>
      </c>
      <c r="B91" s="7">
        <v>182</v>
      </c>
      <c r="C91" s="7">
        <v>5</v>
      </c>
      <c r="D91" s="7">
        <v>23927.69</v>
      </c>
      <c r="E91" s="7">
        <v>5923.7449999999999</v>
      </c>
      <c r="F91" s="7">
        <v>4.0690090000000003</v>
      </c>
      <c r="G91" s="7">
        <v>13.222989999999999</v>
      </c>
      <c r="H91" s="7">
        <v>14.79777</v>
      </c>
      <c r="I91" s="7">
        <v>0.75863619999999998</v>
      </c>
      <c r="J91" s="7" t="s">
        <v>13</v>
      </c>
      <c r="K91" s="7" t="s">
        <v>13</v>
      </c>
      <c r="L91" s="7" t="s">
        <v>13</v>
      </c>
      <c r="M91" s="7"/>
    </row>
  </sheetData>
  <mergeCells count="4">
    <mergeCell ref="P8:Q9"/>
    <mergeCell ref="R8:R9"/>
    <mergeCell ref="S8:S9"/>
    <mergeCell ref="T8:T9"/>
  </mergeCells>
  <phoneticPr fontId="2" type="noConversion"/>
  <conditionalFormatting sqref="A1:XFD1048576">
    <cfRule type="expression" dxfId="11" priority="1">
      <formula>OR(CELL(“col”)=COLUMN(),CELL(“row”)=ROW())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4155-89C1-498A-A0E7-A71276D56AA0}">
  <dimension ref="A1:V45"/>
  <sheetViews>
    <sheetView tabSelected="1" workbookViewId="0">
      <selection activeCell="I41" sqref="I41"/>
    </sheetView>
  </sheetViews>
  <sheetFormatPr defaultRowHeight="15" x14ac:dyDescent="0.25"/>
  <cols>
    <col min="8" max="8" width="10.5703125" customWidth="1"/>
    <col min="9" max="9" width="10.7109375" customWidth="1"/>
    <col min="13" max="13" width="17.2851562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2" s="3" customFormat="1" ht="30" x14ac:dyDescent="0.25">
      <c r="A1" s="9" t="s">
        <v>8</v>
      </c>
      <c r="B1" s="9" t="s">
        <v>0</v>
      </c>
      <c r="C1" s="9" t="s">
        <v>7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17</v>
      </c>
      <c r="K1" s="9" t="s">
        <v>18</v>
      </c>
      <c r="L1" s="9" t="s">
        <v>19</v>
      </c>
      <c r="M1" s="9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2" x14ac:dyDescent="0.25">
      <c r="A2" s="4">
        <v>22</v>
      </c>
      <c r="B2" s="4">
        <v>22</v>
      </c>
      <c r="C2" s="4">
        <v>1</v>
      </c>
      <c r="D2" s="4">
        <v>-9901.2890000000007</v>
      </c>
      <c r="E2" s="4">
        <v>-2239.723</v>
      </c>
      <c r="F2" s="4">
        <v>1.9048259999999999</v>
      </c>
      <c r="G2" s="4">
        <v>2.8020559999999999</v>
      </c>
      <c r="H2" s="4">
        <v>6.5736319999999999</v>
      </c>
      <c r="I2" s="4">
        <v>0.81463370000000002</v>
      </c>
      <c r="J2" s="4" t="s">
        <v>27</v>
      </c>
      <c r="K2" s="4" t="s">
        <v>26</v>
      </c>
      <c r="L2" s="4" t="s">
        <v>26</v>
      </c>
      <c r="M2" s="4" t="s">
        <v>59</v>
      </c>
      <c r="Q2" t="s">
        <v>13</v>
      </c>
      <c r="R2" t="s">
        <v>13</v>
      </c>
      <c r="S2">
        <f>COUNTIF(J:J,$R2)</f>
        <v>7</v>
      </c>
      <c r="T2">
        <f>COUNTIF(K:K,$R2)</f>
        <v>6</v>
      </c>
      <c r="U2">
        <f>COUNTIF(L:L,$R2)</f>
        <v>6</v>
      </c>
    </row>
    <row r="3" spans="1:22" x14ac:dyDescent="0.25">
      <c r="A3" s="4">
        <v>29</v>
      </c>
      <c r="B3" s="4">
        <v>29</v>
      </c>
      <c r="C3" s="4">
        <v>1</v>
      </c>
      <c r="D3" s="4">
        <v>-9920.2829999999994</v>
      </c>
      <c r="E3" s="4">
        <v>-2228.931</v>
      </c>
      <c r="F3" s="4">
        <v>0.80726690000000001</v>
      </c>
      <c r="G3" s="4">
        <v>0.48252919999999999</v>
      </c>
      <c r="H3" s="4">
        <v>2.8491590000000002</v>
      </c>
      <c r="I3" s="4">
        <v>0.74676940000000003</v>
      </c>
      <c r="J3" s="4" t="s">
        <v>26</v>
      </c>
      <c r="K3" s="4" t="s">
        <v>26</v>
      </c>
      <c r="L3" s="4" t="s">
        <v>26</v>
      </c>
      <c r="M3" s="4" t="s">
        <v>60</v>
      </c>
      <c r="Q3" t="s">
        <v>14</v>
      </c>
      <c r="R3" t="s">
        <v>14</v>
      </c>
      <c r="S3">
        <f>COUNTIF(J:J,$R3)</f>
        <v>3</v>
      </c>
      <c r="T3">
        <f>COUNTIF(K:K,$R3)</f>
        <v>3</v>
      </c>
      <c r="U3">
        <f>COUNTIF(L:L,$R3)</f>
        <v>3</v>
      </c>
    </row>
    <row r="4" spans="1:22" x14ac:dyDescent="0.25">
      <c r="A4" s="4">
        <v>31</v>
      </c>
      <c r="B4" s="4">
        <v>31</v>
      </c>
      <c r="C4" s="4">
        <v>1</v>
      </c>
      <c r="D4" s="4">
        <v>-9877.0169999999998</v>
      </c>
      <c r="E4" s="4">
        <v>-2227.0659999999998</v>
      </c>
      <c r="F4" s="4">
        <v>0.84307290000000001</v>
      </c>
      <c r="G4" s="4">
        <v>0.55025259999999998</v>
      </c>
      <c r="H4" s="4">
        <v>2.9569390000000002</v>
      </c>
      <c r="I4" s="4">
        <v>0.79063090000000003</v>
      </c>
      <c r="J4" s="4" t="s">
        <v>27</v>
      </c>
      <c r="K4" s="4" t="s">
        <v>26</v>
      </c>
      <c r="L4" s="4" t="s">
        <v>26</v>
      </c>
      <c r="M4" s="4" t="s">
        <v>28</v>
      </c>
      <c r="Q4" t="s">
        <v>15</v>
      </c>
      <c r="R4" t="s">
        <v>15</v>
      </c>
      <c r="S4">
        <f>COUNTIF(J:J,$R4)</f>
        <v>1</v>
      </c>
      <c r="T4">
        <f>COUNTIF(K:K,$R4)</f>
        <v>1</v>
      </c>
      <c r="U4">
        <f>COUNTIF(L:L,$R4)</f>
        <v>1</v>
      </c>
    </row>
    <row r="5" spans="1:22" x14ac:dyDescent="0.25">
      <c r="A5" s="4">
        <v>32</v>
      </c>
      <c r="B5" s="4">
        <v>32</v>
      </c>
      <c r="C5" s="4">
        <v>1</v>
      </c>
      <c r="D5" s="4">
        <v>-9936.0930000000008</v>
      </c>
      <c r="E5" s="4">
        <v>-2226.4659999999999</v>
      </c>
      <c r="F5" s="4">
        <v>1.1445939999999999</v>
      </c>
      <c r="G5" s="4">
        <v>1.066643</v>
      </c>
      <c r="H5" s="4">
        <v>4.289523</v>
      </c>
      <c r="I5" s="4">
        <v>0.72827889999999995</v>
      </c>
      <c r="J5" s="4" t="s">
        <v>27</v>
      </c>
      <c r="K5" s="4" t="s">
        <v>26</v>
      </c>
      <c r="L5" s="4" t="s">
        <v>26</v>
      </c>
      <c r="M5" s="4" t="s">
        <v>28</v>
      </c>
      <c r="Q5" t="s">
        <v>53</v>
      </c>
      <c r="R5" t="s">
        <v>54</v>
      </c>
      <c r="S5">
        <f>COUNTIF(J:J,$R5)</f>
        <v>1</v>
      </c>
      <c r="T5">
        <f>COUNTIF(K:K,$R5)</f>
        <v>0</v>
      </c>
      <c r="U5">
        <f>COUNTIF(L:L,$R5)</f>
        <v>1</v>
      </c>
    </row>
    <row r="6" spans="1:22" ht="15" customHeight="1" x14ac:dyDescent="0.25">
      <c r="A6" s="4">
        <v>33</v>
      </c>
      <c r="B6" s="4">
        <v>33</v>
      </c>
      <c r="C6" s="4">
        <v>1</v>
      </c>
      <c r="D6" s="4">
        <v>-9873.84</v>
      </c>
      <c r="E6" s="4">
        <v>-2224.31</v>
      </c>
      <c r="F6" s="4">
        <v>2.500022</v>
      </c>
      <c r="G6" s="4">
        <v>4.3681590000000003</v>
      </c>
      <c r="H6" s="4">
        <v>8.6868259999999999</v>
      </c>
      <c r="I6" s="4">
        <v>0.72723139999999997</v>
      </c>
      <c r="J6" s="4" t="s">
        <v>26</v>
      </c>
      <c r="K6" s="4" t="s">
        <v>26</v>
      </c>
      <c r="L6" s="4" t="s">
        <v>26</v>
      </c>
      <c r="M6" s="4" t="s">
        <v>61</v>
      </c>
      <c r="Q6" t="s">
        <v>55</v>
      </c>
      <c r="R6" t="s">
        <v>56</v>
      </c>
      <c r="S6">
        <f>COUNTIF(J:J,$R6)</f>
        <v>0</v>
      </c>
      <c r="T6">
        <f>COUNTIF(K:K,$R6)</f>
        <v>1</v>
      </c>
      <c r="U6">
        <f>COUNTIF(L:L,$R6)</f>
        <v>1</v>
      </c>
    </row>
    <row r="7" spans="1:22" x14ac:dyDescent="0.25">
      <c r="A7" s="4">
        <v>34</v>
      </c>
      <c r="B7" s="4">
        <v>34</v>
      </c>
      <c r="C7" s="4">
        <v>1</v>
      </c>
      <c r="D7" s="4">
        <v>-9838.8330000000005</v>
      </c>
      <c r="E7" s="4">
        <v>-2221.7269999999999</v>
      </c>
      <c r="F7" s="4">
        <v>3.0167980000000001</v>
      </c>
      <c r="G7" s="4">
        <v>6.5776349999999999</v>
      </c>
      <c r="H7" s="4">
        <v>10.88931</v>
      </c>
      <c r="I7" s="4">
        <v>0.69689239999999997</v>
      </c>
      <c r="J7" s="4" t="s">
        <v>54</v>
      </c>
      <c r="K7" s="4" t="s">
        <v>26</v>
      </c>
      <c r="L7" s="4" t="s">
        <v>54</v>
      </c>
      <c r="M7" s="4" t="s">
        <v>62</v>
      </c>
      <c r="Q7" t="s">
        <v>57</v>
      </c>
      <c r="R7" t="s">
        <v>58</v>
      </c>
      <c r="S7">
        <f>COUNTIF(J:J,$R7)</f>
        <v>5</v>
      </c>
      <c r="T7">
        <f>COUNTIF(K:K,$R7)</f>
        <v>3</v>
      </c>
      <c r="U7">
        <f>COUNTIF(L:L,$R7)</f>
        <v>4</v>
      </c>
    </row>
    <row r="8" spans="1:22" ht="15" customHeight="1" x14ac:dyDescent="0.25">
      <c r="A8" s="4">
        <v>39</v>
      </c>
      <c r="B8" s="4">
        <v>39</v>
      </c>
      <c r="C8" s="4">
        <v>1</v>
      </c>
      <c r="D8" s="4">
        <v>-9874.6610000000001</v>
      </c>
      <c r="E8" s="4">
        <v>-2218.375</v>
      </c>
      <c r="F8" s="4">
        <v>2.4993129999999999</v>
      </c>
      <c r="G8" s="4">
        <v>4.6390529999999996</v>
      </c>
      <c r="H8" s="4">
        <v>8.4266220000000001</v>
      </c>
      <c r="I8" s="4">
        <v>0.82076470000000001</v>
      </c>
      <c r="J8" s="4" t="s">
        <v>58</v>
      </c>
      <c r="K8" s="4" t="s">
        <v>14</v>
      </c>
      <c r="L8" s="4" t="s">
        <v>26</v>
      </c>
      <c r="M8" s="4" t="s">
        <v>63</v>
      </c>
      <c r="Q8" t="s">
        <v>22</v>
      </c>
      <c r="R8" t="s">
        <v>25</v>
      </c>
      <c r="S8">
        <f>COUNTIF(J:J,$R8)</f>
        <v>3</v>
      </c>
      <c r="T8">
        <f>COUNTIF(K:K,$R8)</f>
        <v>3</v>
      </c>
      <c r="U8">
        <f>COUNTIF(L:L,$R8)</f>
        <v>3</v>
      </c>
      <c r="V8" s="2"/>
    </row>
    <row r="9" spans="1:22" x14ac:dyDescent="0.25">
      <c r="A9" s="4">
        <v>53</v>
      </c>
      <c r="B9" s="4">
        <v>53</v>
      </c>
      <c r="C9" s="4">
        <v>1</v>
      </c>
      <c r="D9" s="4">
        <v>-9848.0879999999997</v>
      </c>
      <c r="E9" s="4">
        <v>-2204.1460000000002</v>
      </c>
      <c r="F9" s="4">
        <v>4.7615239999999996</v>
      </c>
      <c r="G9" s="4">
        <v>17.73507</v>
      </c>
      <c r="H9" s="4">
        <v>16.34591</v>
      </c>
      <c r="I9" s="4">
        <v>0.83389380000000002</v>
      </c>
      <c r="J9" s="4" t="s">
        <v>13</v>
      </c>
      <c r="K9" s="4" t="s">
        <v>13</v>
      </c>
      <c r="L9" s="4" t="s">
        <v>13</v>
      </c>
      <c r="M9" s="4"/>
      <c r="Q9" t="s">
        <v>21</v>
      </c>
      <c r="R9" t="s">
        <v>26</v>
      </c>
      <c r="S9">
        <f>COUNTIF(J:J,$R9)</f>
        <v>6</v>
      </c>
      <c r="T9">
        <f>COUNTIF(K:K,$R9)</f>
        <v>24</v>
      </c>
      <c r="U9">
        <f>COUNTIF(L:L,$R9)</f>
        <v>22</v>
      </c>
      <c r="V9" s="2"/>
    </row>
    <row r="10" spans="1:22" x14ac:dyDescent="0.25">
      <c r="A10" s="4">
        <v>54</v>
      </c>
      <c r="B10" s="4">
        <v>54</v>
      </c>
      <c r="C10" s="4">
        <v>1</v>
      </c>
      <c r="D10" s="4">
        <v>-9977.6029999999992</v>
      </c>
      <c r="E10" s="4">
        <v>-2201.7869999999998</v>
      </c>
      <c r="F10" s="4">
        <v>2.7588819999999998</v>
      </c>
      <c r="G10" s="4">
        <v>5.9427279999999998</v>
      </c>
      <c r="H10" s="4">
        <v>9.5752140000000008</v>
      </c>
      <c r="I10" s="4">
        <v>0.81430139999999995</v>
      </c>
      <c r="J10" s="4" t="s">
        <v>13</v>
      </c>
      <c r="K10" s="4" t="s">
        <v>26</v>
      </c>
      <c r="L10" s="4" t="s">
        <v>26</v>
      </c>
      <c r="M10" s="4" t="s">
        <v>44</v>
      </c>
      <c r="Q10" t="s">
        <v>23</v>
      </c>
      <c r="R10" t="s">
        <v>27</v>
      </c>
      <c r="S10">
        <f>COUNTIF(J:J,$R10)</f>
        <v>18</v>
      </c>
      <c r="T10">
        <f>COUNTIF(K:K,$R10)</f>
        <v>3</v>
      </c>
      <c r="U10">
        <f>COUNTIF(L:L,$R10)</f>
        <v>3</v>
      </c>
    </row>
    <row r="11" spans="1:22" x14ac:dyDescent="0.25">
      <c r="A11" s="4">
        <v>59</v>
      </c>
      <c r="B11" s="4">
        <v>59</v>
      </c>
      <c r="C11" s="4">
        <v>1</v>
      </c>
      <c r="D11" s="4">
        <v>-9838.8019999999997</v>
      </c>
      <c r="E11" s="4">
        <v>-2194.0210000000002</v>
      </c>
      <c r="F11" s="4">
        <v>2.9192900000000002</v>
      </c>
      <c r="G11" s="4">
        <v>6.4591190000000003</v>
      </c>
      <c r="H11" s="4">
        <v>10.69224</v>
      </c>
      <c r="I11" s="4">
        <v>0.70979400000000004</v>
      </c>
      <c r="J11" s="4" t="s">
        <v>14</v>
      </c>
      <c r="K11" s="4" t="s">
        <v>26</v>
      </c>
      <c r="L11" s="4" t="s">
        <v>26</v>
      </c>
      <c r="M11" s="4" t="s">
        <v>64</v>
      </c>
      <c r="Q11" s="5" t="s">
        <v>16</v>
      </c>
      <c r="R11" s="5"/>
      <c r="S11" s="6">
        <f>SUM(S2:S10)</f>
        <v>44</v>
      </c>
      <c r="T11" s="5">
        <f>SUM(T2:T10)</f>
        <v>44</v>
      </c>
      <c r="U11" s="5">
        <f>SUM(U2:U10)</f>
        <v>44</v>
      </c>
    </row>
    <row r="12" spans="1:22" x14ac:dyDescent="0.25">
      <c r="A12" s="4">
        <v>61</v>
      </c>
      <c r="B12" s="4">
        <v>61</v>
      </c>
      <c r="C12" s="4">
        <v>1</v>
      </c>
      <c r="D12" s="4">
        <v>-9890.68</v>
      </c>
      <c r="E12" s="4">
        <v>-2190.2330000000002</v>
      </c>
      <c r="F12" s="4">
        <v>2.5480369999999999</v>
      </c>
      <c r="G12" s="4">
        <v>4.918412</v>
      </c>
      <c r="H12" s="4">
        <v>8.502834</v>
      </c>
      <c r="I12" s="4">
        <v>0.85466089999999995</v>
      </c>
      <c r="J12" s="4" t="s">
        <v>26</v>
      </c>
      <c r="K12" s="4" t="s">
        <v>26</v>
      </c>
      <c r="L12" s="4" t="s">
        <v>26</v>
      </c>
      <c r="M12" s="4" t="s">
        <v>65</v>
      </c>
      <c r="Q12" s="5"/>
      <c r="R12" s="5"/>
      <c r="S12" s="6"/>
      <c r="T12" s="5"/>
      <c r="U12" s="5"/>
    </row>
    <row r="13" spans="1:22" x14ac:dyDescent="0.25">
      <c r="A13" s="4">
        <v>64</v>
      </c>
      <c r="B13" s="4">
        <v>64</v>
      </c>
      <c r="C13" s="4">
        <v>1</v>
      </c>
      <c r="D13" s="4">
        <v>-9869.5239999999994</v>
      </c>
      <c r="E13" s="4">
        <v>-2177.8139999999999</v>
      </c>
      <c r="F13" s="4">
        <v>0.83193810000000001</v>
      </c>
      <c r="G13" s="4">
        <v>0.51639089999999999</v>
      </c>
      <c r="H13" s="4">
        <v>2.696736</v>
      </c>
      <c r="I13" s="4">
        <v>0.89206839999999998</v>
      </c>
      <c r="J13" s="4" t="s">
        <v>25</v>
      </c>
      <c r="K13" s="4" t="s">
        <v>25</v>
      </c>
      <c r="L13" s="4" t="s">
        <v>25</v>
      </c>
      <c r="M13" s="4" t="s">
        <v>66</v>
      </c>
    </row>
    <row r="14" spans="1:22" x14ac:dyDescent="0.25">
      <c r="A14" s="4">
        <v>65</v>
      </c>
      <c r="B14" s="4">
        <v>65</v>
      </c>
      <c r="C14" s="4">
        <v>1</v>
      </c>
      <c r="D14" s="4">
        <v>-10002.84</v>
      </c>
      <c r="E14" s="4">
        <v>-2177.616</v>
      </c>
      <c r="F14" s="4">
        <v>2.7504780000000002</v>
      </c>
      <c r="G14" s="4">
        <v>5.6041109999999996</v>
      </c>
      <c r="H14" s="4">
        <v>10.09562</v>
      </c>
      <c r="I14" s="4">
        <v>0.69077569999999999</v>
      </c>
      <c r="J14" s="4" t="s">
        <v>14</v>
      </c>
      <c r="K14" s="4" t="s">
        <v>14</v>
      </c>
      <c r="L14" s="4" t="s">
        <v>14</v>
      </c>
      <c r="M14" s="4" t="s">
        <v>67</v>
      </c>
    </row>
    <row r="15" spans="1:22" x14ac:dyDescent="0.25">
      <c r="A15" s="4">
        <v>66</v>
      </c>
      <c r="B15" s="4">
        <v>66</v>
      </c>
      <c r="C15" s="4">
        <v>1</v>
      </c>
      <c r="D15" s="4">
        <v>-9869.1489999999994</v>
      </c>
      <c r="E15" s="4">
        <v>-2176.6610000000001</v>
      </c>
      <c r="F15" s="4">
        <v>5.0963609999999999</v>
      </c>
      <c r="G15" s="4">
        <v>19.13186</v>
      </c>
      <c r="H15" s="4">
        <v>17.26587</v>
      </c>
      <c r="I15" s="4">
        <v>0.8062627</v>
      </c>
      <c r="J15" s="4" t="s">
        <v>25</v>
      </c>
      <c r="K15" s="4" t="s">
        <v>25</v>
      </c>
      <c r="L15" s="4" t="s">
        <v>25</v>
      </c>
      <c r="M15" s="4" t="s">
        <v>68</v>
      </c>
    </row>
    <row r="16" spans="1:22" x14ac:dyDescent="0.25">
      <c r="A16" s="4">
        <v>67</v>
      </c>
      <c r="B16" s="4">
        <v>67</v>
      </c>
      <c r="C16" s="4">
        <v>1</v>
      </c>
      <c r="D16" s="4">
        <v>-9893.0020000000004</v>
      </c>
      <c r="E16" s="4">
        <v>-2172.62</v>
      </c>
      <c r="F16" s="4">
        <v>0.75034480000000003</v>
      </c>
      <c r="G16" s="4">
        <v>0.4148058</v>
      </c>
      <c r="H16" s="4">
        <v>2.7413799999999999</v>
      </c>
      <c r="I16" s="4">
        <v>0.6934304</v>
      </c>
      <c r="J16" s="4" t="s">
        <v>27</v>
      </c>
      <c r="K16" s="4" t="s">
        <v>27</v>
      </c>
      <c r="L16" s="4" t="s">
        <v>27</v>
      </c>
      <c r="M16" s="4"/>
    </row>
    <row r="17" spans="1:13" x14ac:dyDescent="0.25">
      <c r="A17" s="4">
        <v>68</v>
      </c>
      <c r="B17" s="4">
        <v>68</v>
      </c>
      <c r="C17" s="4">
        <v>1</v>
      </c>
      <c r="D17" s="4">
        <v>-9931.5910000000003</v>
      </c>
      <c r="E17" s="4">
        <v>-2169.56</v>
      </c>
      <c r="F17" s="4">
        <v>1.8432219999999999</v>
      </c>
      <c r="G17" s="4">
        <v>2.6412119999999999</v>
      </c>
      <c r="H17" s="4">
        <v>6.434285</v>
      </c>
      <c r="I17" s="4">
        <v>0.80149210000000004</v>
      </c>
      <c r="J17" s="4" t="s">
        <v>27</v>
      </c>
      <c r="K17" s="4" t="s">
        <v>26</v>
      </c>
      <c r="L17" s="4" t="s">
        <v>26</v>
      </c>
      <c r="M17" s="4" t="s">
        <v>28</v>
      </c>
    </row>
    <row r="18" spans="1:13" x14ac:dyDescent="0.25">
      <c r="A18" s="4">
        <v>69</v>
      </c>
      <c r="B18" s="4">
        <v>69</v>
      </c>
      <c r="C18" s="4">
        <v>1</v>
      </c>
      <c r="D18" s="4">
        <v>-9857.5390000000007</v>
      </c>
      <c r="E18" s="4">
        <v>-2167.0520000000001</v>
      </c>
      <c r="F18" s="4">
        <v>0.60714820000000003</v>
      </c>
      <c r="G18" s="4">
        <v>0.2454973</v>
      </c>
      <c r="H18" s="4">
        <v>2.3287529999999999</v>
      </c>
      <c r="I18" s="4">
        <v>0.56871709999999998</v>
      </c>
      <c r="J18" s="4" t="s">
        <v>27</v>
      </c>
      <c r="K18" s="4" t="s">
        <v>27</v>
      </c>
      <c r="L18" s="4" t="s">
        <v>27</v>
      </c>
      <c r="M18" s="4"/>
    </row>
    <row r="19" spans="1:13" x14ac:dyDescent="0.25">
      <c r="A19" s="4">
        <v>70</v>
      </c>
      <c r="B19" s="4">
        <v>70</v>
      </c>
      <c r="C19" s="4">
        <v>1</v>
      </c>
      <c r="D19" s="4">
        <v>-9996.9470000000001</v>
      </c>
      <c r="E19" s="4">
        <v>-2166.5320000000002</v>
      </c>
      <c r="F19" s="4">
        <v>1.6885889999999999</v>
      </c>
      <c r="G19" s="4">
        <v>1.8454630000000001</v>
      </c>
      <c r="H19" s="4">
        <v>6.326505</v>
      </c>
      <c r="I19" s="4">
        <v>0.57926060000000001</v>
      </c>
      <c r="J19" s="4" t="s">
        <v>27</v>
      </c>
      <c r="K19" s="4" t="s">
        <v>26</v>
      </c>
      <c r="L19" s="4" t="s">
        <v>26</v>
      </c>
      <c r="M19" s="4" t="s">
        <v>44</v>
      </c>
    </row>
    <row r="20" spans="1:13" x14ac:dyDescent="0.25">
      <c r="A20" s="4">
        <v>71</v>
      </c>
      <c r="B20" s="4">
        <v>71</v>
      </c>
      <c r="C20" s="4">
        <v>1</v>
      </c>
      <c r="D20" s="4">
        <v>-9917.0049999999992</v>
      </c>
      <c r="E20" s="4">
        <v>-2164.5010000000002</v>
      </c>
      <c r="F20" s="4">
        <v>2.7500599999999999</v>
      </c>
      <c r="G20" s="4">
        <v>5.9257970000000002</v>
      </c>
      <c r="H20" s="4">
        <v>9.4674359999999993</v>
      </c>
      <c r="I20" s="4">
        <v>0.83057429999999999</v>
      </c>
      <c r="J20" s="4" t="s">
        <v>27</v>
      </c>
      <c r="K20" s="4" t="s">
        <v>26</v>
      </c>
      <c r="L20" s="4" t="s">
        <v>26</v>
      </c>
      <c r="M20" s="4" t="s">
        <v>44</v>
      </c>
    </row>
    <row r="21" spans="1:13" x14ac:dyDescent="0.25">
      <c r="A21" s="4">
        <v>73</v>
      </c>
      <c r="B21" s="4">
        <v>73</v>
      </c>
      <c r="C21" s="4">
        <v>1</v>
      </c>
      <c r="D21" s="4">
        <v>-9997.1550000000007</v>
      </c>
      <c r="E21" s="4">
        <v>-2160.308</v>
      </c>
      <c r="F21" s="4">
        <v>2.3696030000000001</v>
      </c>
      <c r="G21" s="4">
        <v>4.3850899999999999</v>
      </c>
      <c r="H21" s="4">
        <v>8.6236899999999999</v>
      </c>
      <c r="I21" s="4">
        <v>0.74077899999999997</v>
      </c>
      <c r="J21" s="4" t="s">
        <v>13</v>
      </c>
      <c r="K21" s="4" t="s">
        <v>13</v>
      </c>
      <c r="L21" s="4" t="s">
        <v>13</v>
      </c>
      <c r="M21" s="4"/>
    </row>
    <row r="22" spans="1:13" x14ac:dyDescent="0.25">
      <c r="A22" s="4">
        <v>75</v>
      </c>
      <c r="B22" s="4">
        <v>1</v>
      </c>
      <c r="C22" s="4">
        <v>2</v>
      </c>
      <c r="D22" s="4">
        <v>-12653</v>
      </c>
      <c r="E22" s="4">
        <v>1294.5909999999999</v>
      </c>
      <c r="F22" s="4">
        <v>1.471946</v>
      </c>
      <c r="G22" s="4">
        <v>1.2413190000000001</v>
      </c>
      <c r="H22" s="4">
        <v>5.8977040000000001</v>
      </c>
      <c r="I22" s="4">
        <v>0.4482892</v>
      </c>
      <c r="J22" s="4" t="s">
        <v>27</v>
      </c>
      <c r="K22" s="4" t="s">
        <v>26</v>
      </c>
      <c r="L22" s="4" t="s">
        <v>26</v>
      </c>
      <c r="M22" s="4" t="s">
        <v>28</v>
      </c>
    </row>
    <row r="23" spans="1:13" x14ac:dyDescent="0.25">
      <c r="A23" s="4">
        <v>82</v>
      </c>
      <c r="B23" s="4">
        <v>8</v>
      </c>
      <c r="C23" s="4">
        <v>2</v>
      </c>
      <c r="D23" s="4">
        <v>-12672.54</v>
      </c>
      <c r="E23" s="4">
        <v>1299.7139999999999</v>
      </c>
      <c r="F23" s="4">
        <v>2.0851510000000002</v>
      </c>
      <c r="G23" s="4">
        <v>3.3956219999999999</v>
      </c>
      <c r="H23" s="4">
        <v>7.5793179999999998</v>
      </c>
      <c r="I23" s="4">
        <v>0.74250579999999999</v>
      </c>
      <c r="J23" s="4" t="s">
        <v>13</v>
      </c>
      <c r="K23" s="4" t="s">
        <v>13</v>
      </c>
      <c r="L23" s="4" t="s">
        <v>13</v>
      </c>
      <c r="M23" s="4" t="s">
        <v>44</v>
      </c>
    </row>
    <row r="24" spans="1:13" x14ac:dyDescent="0.25">
      <c r="A24" s="4">
        <v>103</v>
      </c>
      <c r="B24" s="4">
        <v>29</v>
      </c>
      <c r="C24" s="4">
        <v>2</v>
      </c>
      <c r="D24" s="4">
        <v>-12659.06</v>
      </c>
      <c r="E24" s="4">
        <v>1335.33</v>
      </c>
      <c r="F24" s="4">
        <v>2.013538</v>
      </c>
      <c r="G24" s="4">
        <v>3.1032980000000001</v>
      </c>
      <c r="H24" s="4">
        <v>7.9289459999999998</v>
      </c>
      <c r="I24" s="4">
        <v>0.62005940000000004</v>
      </c>
      <c r="J24" s="4" t="s">
        <v>13</v>
      </c>
      <c r="K24" s="4" t="s">
        <v>13</v>
      </c>
      <c r="L24" s="4" t="s">
        <v>13</v>
      </c>
      <c r="M24" s="4"/>
    </row>
    <row r="25" spans="1:13" x14ac:dyDescent="0.25">
      <c r="A25" s="4">
        <v>136</v>
      </c>
      <c r="B25" s="4">
        <v>2</v>
      </c>
      <c r="C25" s="4">
        <v>4</v>
      </c>
      <c r="D25" s="4">
        <v>-10610.19</v>
      </c>
      <c r="E25" s="4">
        <v>-3544.433</v>
      </c>
      <c r="F25" s="4">
        <v>1.2161360000000001</v>
      </c>
      <c r="G25" s="4">
        <v>1.1375230000000001</v>
      </c>
      <c r="H25" s="4">
        <v>4.351661</v>
      </c>
      <c r="I25" s="4">
        <v>0.75455470000000002</v>
      </c>
      <c r="J25" s="4" t="s">
        <v>27</v>
      </c>
      <c r="K25" s="4" t="s">
        <v>26</v>
      </c>
      <c r="L25" s="4" t="s">
        <v>26</v>
      </c>
      <c r="M25" s="4" t="s">
        <v>28</v>
      </c>
    </row>
    <row r="26" spans="1:13" x14ac:dyDescent="0.25">
      <c r="A26" s="4">
        <v>144</v>
      </c>
      <c r="B26" s="4">
        <v>10</v>
      </c>
      <c r="C26" s="4">
        <v>4</v>
      </c>
      <c r="D26" s="4">
        <v>-10610.94</v>
      </c>
      <c r="E26" s="4">
        <v>-3526.79</v>
      </c>
      <c r="F26" s="4">
        <v>1.0315970000000001</v>
      </c>
      <c r="G26" s="4">
        <v>0.81977900000000004</v>
      </c>
      <c r="H26" s="4">
        <v>3.6469860000000001</v>
      </c>
      <c r="I26" s="4">
        <v>0.77422880000000005</v>
      </c>
      <c r="J26" s="4" t="s">
        <v>27</v>
      </c>
      <c r="K26" s="4" t="s">
        <v>26</v>
      </c>
      <c r="L26" s="4" t="s">
        <v>26</v>
      </c>
      <c r="M26" s="4" t="s">
        <v>69</v>
      </c>
    </row>
    <row r="27" spans="1:13" x14ac:dyDescent="0.25">
      <c r="A27" s="4">
        <v>145</v>
      </c>
      <c r="B27" s="4">
        <v>11</v>
      </c>
      <c r="C27" s="4">
        <v>4</v>
      </c>
      <c r="D27" s="4">
        <v>-10618.1</v>
      </c>
      <c r="E27" s="4">
        <v>-3523.5340000000001</v>
      </c>
      <c r="F27" s="4">
        <v>1.6897089999999999</v>
      </c>
      <c r="G27" s="4">
        <v>2.2538629999999999</v>
      </c>
      <c r="H27" s="4">
        <v>5.7544700000000004</v>
      </c>
      <c r="I27" s="4">
        <v>0.85498320000000005</v>
      </c>
      <c r="J27" s="4" t="s">
        <v>27</v>
      </c>
      <c r="K27" s="4" t="s">
        <v>26</v>
      </c>
      <c r="L27" s="4" t="s">
        <v>26</v>
      </c>
      <c r="M27" s="4" t="s">
        <v>69</v>
      </c>
    </row>
    <row r="28" spans="1:13" x14ac:dyDescent="0.25">
      <c r="A28" s="4">
        <v>162</v>
      </c>
      <c r="B28" s="4">
        <v>1</v>
      </c>
      <c r="C28" s="4">
        <v>5</v>
      </c>
      <c r="D28" s="4">
        <v>-12220</v>
      </c>
      <c r="E28" s="4">
        <v>-2303.2060000000001</v>
      </c>
      <c r="F28" s="4">
        <v>1.0362910000000001</v>
      </c>
      <c r="G28" s="4">
        <v>0.62065959999999998</v>
      </c>
      <c r="H28" s="4">
        <v>4.0597750000000001</v>
      </c>
      <c r="I28" s="4">
        <v>0.4730317</v>
      </c>
      <c r="J28" s="4" t="s">
        <v>58</v>
      </c>
      <c r="K28" s="4" t="s">
        <v>26</v>
      </c>
      <c r="L28" s="4" t="s">
        <v>58</v>
      </c>
      <c r="M28" s="4" t="s">
        <v>28</v>
      </c>
    </row>
    <row r="29" spans="1:13" x14ac:dyDescent="0.25">
      <c r="A29" s="4">
        <v>166</v>
      </c>
      <c r="B29" s="4">
        <v>5</v>
      </c>
      <c r="C29" s="4">
        <v>5</v>
      </c>
      <c r="D29" s="4">
        <v>-12187.8</v>
      </c>
      <c r="E29" s="4">
        <v>-2298.0100000000002</v>
      </c>
      <c r="F29" s="4">
        <v>2.7699259999999999</v>
      </c>
      <c r="G29" s="4">
        <v>6.0223050000000002</v>
      </c>
      <c r="H29" s="4">
        <v>9.455368</v>
      </c>
      <c r="I29" s="4">
        <v>0.84614860000000003</v>
      </c>
      <c r="J29" s="4" t="s">
        <v>58</v>
      </c>
      <c r="K29" s="4" t="s">
        <v>58</v>
      </c>
      <c r="L29" s="4" t="s">
        <v>58</v>
      </c>
      <c r="M29" s="4" t="s">
        <v>28</v>
      </c>
    </row>
    <row r="30" spans="1:13" x14ac:dyDescent="0.25">
      <c r="A30" s="4">
        <v>188</v>
      </c>
      <c r="B30" s="4">
        <v>27</v>
      </c>
      <c r="C30" s="4">
        <v>5</v>
      </c>
      <c r="D30" s="4">
        <v>-12196.23</v>
      </c>
      <c r="E30" s="4">
        <v>-2275.5659999999998</v>
      </c>
      <c r="F30" s="4">
        <v>1.703047</v>
      </c>
      <c r="G30" s="4">
        <v>2.2983470000000001</v>
      </c>
      <c r="H30" s="4">
        <v>5.8465020000000001</v>
      </c>
      <c r="I30" s="4">
        <v>0.84462539999999997</v>
      </c>
      <c r="J30" s="4" t="s">
        <v>27</v>
      </c>
      <c r="K30" s="4" t="s">
        <v>26</v>
      </c>
      <c r="L30" s="4" t="s">
        <v>26</v>
      </c>
      <c r="M30" s="4" t="s">
        <v>28</v>
      </c>
    </row>
    <row r="31" spans="1:13" x14ac:dyDescent="0.25">
      <c r="A31" s="4">
        <v>196</v>
      </c>
      <c r="B31" s="4">
        <v>35</v>
      </c>
      <c r="C31" s="4">
        <v>5</v>
      </c>
      <c r="D31" s="4">
        <v>-12231.01</v>
      </c>
      <c r="E31" s="4">
        <v>-2265.9389999999999</v>
      </c>
      <c r="F31" s="4">
        <v>1.854414</v>
      </c>
      <c r="G31" s="4">
        <v>2.639392</v>
      </c>
      <c r="H31" s="4">
        <v>6.4368150000000002</v>
      </c>
      <c r="I31" s="4">
        <v>0.80020760000000002</v>
      </c>
      <c r="J31" s="4" t="s">
        <v>13</v>
      </c>
      <c r="K31" s="4" t="s">
        <v>13</v>
      </c>
      <c r="L31" s="4" t="s">
        <v>13</v>
      </c>
      <c r="M31" s="4" t="s">
        <v>28</v>
      </c>
    </row>
    <row r="32" spans="1:13" x14ac:dyDescent="0.25">
      <c r="A32" s="4">
        <v>206</v>
      </c>
      <c r="B32" s="4">
        <v>1</v>
      </c>
      <c r="C32" s="4">
        <v>6</v>
      </c>
      <c r="D32" s="4">
        <v>-9008.65</v>
      </c>
      <c r="E32" s="4">
        <v>-2530.2170000000001</v>
      </c>
      <c r="F32" s="4">
        <v>1.311717</v>
      </c>
      <c r="G32" s="4">
        <v>1.4107829999999999</v>
      </c>
      <c r="H32" s="4">
        <v>5.1483679999999996</v>
      </c>
      <c r="I32" s="4">
        <v>0.66859279999999999</v>
      </c>
      <c r="J32" s="4" t="s">
        <v>26</v>
      </c>
      <c r="K32" s="4" t="s">
        <v>26</v>
      </c>
      <c r="L32" s="4" t="s">
        <v>26</v>
      </c>
      <c r="M32" s="4" t="s">
        <v>70</v>
      </c>
    </row>
    <row r="33" spans="1:13" x14ac:dyDescent="0.25">
      <c r="A33" s="4">
        <v>208</v>
      </c>
      <c r="B33" s="4">
        <v>3</v>
      </c>
      <c r="C33" s="4">
        <v>6</v>
      </c>
      <c r="D33" s="4">
        <v>-8994.4040000000005</v>
      </c>
      <c r="E33" s="4">
        <v>-2530.047</v>
      </c>
      <c r="F33" s="4">
        <v>1.9146099999999999</v>
      </c>
      <c r="G33" s="4">
        <v>2.8491029999999999</v>
      </c>
      <c r="H33" s="4">
        <v>7.3005139999999997</v>
      </c>
      <c r="I33" s="4">
        <v>0.67149400000000004</v>
      </c>
      <c r="J33" s="4" t="s">
        <v>25</v>
      </c>
      <c r="K33" s="4" t="s">
        <v>25</v>
      </c>
      <c r="L33" s="4" t="s">
        <v>25</v>
      </c>
      <c r="M33" s="4" t="s">
        <v>71</v>
      </c>
    </row>
    <row r="34" spans="1:13" x14ac:dyDescent="0.25">
      <c r="A34" s="4">
        <v>213</v>
      </c>
      <c r="B34" s="4">
        <v>8</v>
      </c>
      <c r="C34" s="4">
        <v>6</v>
      </c>
      <c r="D34" s="4">
        <v>-9033.6959999999999</v>
      </c>
      <c r="E34" s="4">
        <v>-2515.8519999999999</v>
      </c>
      <c r="F34" s="4">
        <v>2.1042610000000002</v>
      </c>
      <c r="G34" s="4">
        <v>3.1011799999999998</v>
      </c>
      <c r="H34" s="4">
        <v>12.25445</v>
      </c>
      <c r="I34" s="4">
        <v>0.25940619999999998</v>
      </c>
      <c r="J34" s="4" t="s">
        <v>26</v>
      </c>
      <c r="K34" s="4" t="s">
        <v>26</v>
      </c>
      <c r="L34" s="4" t="s">
        <v>26</v>
      </c>
      <c r="M34" s="4" t="s">
        <v>72</v>
      </c>
    </row>
    <row r="35" spans="1:13" x14ac:dyDescent="0.25">
      <c r="A35" s="4">
        <v>223</v>
      </c>
      <c r="B35" s="4">
        <v>18</v>
      </c>
      <c r="C35" s="4">
        <v>6</v>
      </c>
      <c r="D35" s="4">
        <v>-9010.9320000000007</v>
      </c>
      <c r="E35" s="4">
        <v>-2503.201</v>
      </c>
      <c r="F35" s="4">
        <v>2.0390890000000002</v>
      </c>
      <c r="G35" s="4">
        <v>3.2452239999999999</v>
      </c>
      <c r="H35" s="4">
        <v>6.9350949999999996</v>
      </c>
      <c r="I35" s="4">
        <v>0.84757979999999999</v>
      </c>
      <c r="J35" s="4" t="s">
        <v>14</v>
      </c>
      <c r="K35" s="4" t="s">
        <v>26</v>
      </c>
      <c r="L35" s="4" t="s">
        <v>14</v>
      </c>
      <c r="M35" s="4" t="s">
        <v>28</v>
      </c>
    </row>
    <row r="36" spans="1:13" x14ac:dyDescent="0.25">
      <c r="A36" s="4">
        <v>231</v>
      </c>
      <c r="B36" s="4">
        <v>1</v>
      </c>
      <c r="C36" s="4">
        <v>7</v>
      </c>
      <c r="D36" s="4">
        <v>-9170.9259999999995</v>
      </c>
      <c r="E36" s="4">
        <v>1598.577</v>
      </c>
      <c r="F36" s="4">
        <v>1.708526</v>
      </c>
      <c r="G36" s="4">
        <v>2.2580990000000001</v>
      </c>
      <c r="H36" s="4">
        <v>5.6558979999999996</v>
      </c>
      <c r="I36" s="4">
        <v>0.8867081</v>
      </c>
      <c r="J36" s="4" t="s">
        <v>27</v>
      </c>
      <c r="K36" s="4" t="s">
        <v>26</v>
      </c>
      <c r="L36" s="4" t="s">
        <v>26</v>
      </c>
      <c r="M36" s="4" t="s">
        <v>28</v>
      </c>
    </row>
    <row r="37" spans="1:13" x14ac:dyDescent="0.25">
      <c r="A37" s="4">
        <v>232</v>
      </c>
      <c r="B37" s="4">
        <v>2</v>
      </c>
      <c r="C37" s="4">
        <v>7</v>
      </c>
      <c r="D37" s="4">
        <v>-9161.3919999999998</v>
      </c>
      <c r="E37" s="4">
        <v>1602.3</v>
      </c>
      <c r="F37" s="4">
        <v>2.1240559999999999</v>
      </c>
      <c r="G37" s="4">
        <v>3.5735589999999999</v>
      </c>
      <c r="H37" s="4">
        <v>7.287433</v>
      </c>
      <c r="I37" s="4">
        <v>0.84526460000000003</v>
      </c>
      <c r="J37" s="4" t="s">
        <v>58</v>
      </c>
      <c r="K37" s="4" t="s">
        <v>58</v>
      </c>
      <c r="L37" s="4" t="s">
        <v>58</v>
      </c>
      <c r="M37" s="4"/>
    </row>
    <row r="38" spans="1:13" x14ac:dyDescent="0.25">
      <c r="A38" s="4">
        <v>233</v>
      </c>
      <c r="B38" s="4">
        <v>3</v>
      </c>
      <c r="C38" s="4">
        <v>7</v>
      </c>
      <c r="D38" s="4">
        <v>-9152.4339999999993</v>
      </c>
      <c r="E38" s="4">
        <v>1602.8040000000001</v>
      </c>
      <c r="F38" s="4">
        <v>1.707511</v>
      </c>
      <c r="G38" s="4">
        <v>2.2962289999999999</v>
      </c>
      <c r="H38" s="4">
        <v>6.0463560000000003</v>
      </c>
      <c r="I38" s="4">
        <v>0.78898449999999998</v>
      </c>
      <c r="J38" s="4" t="s">
        <v>58</v>
      </c>
      <c r="K38" s="4" t="s">
        <v>58</v>
      </c>
      <c r="L38" s="4" t="s">
        <v>58</v>
      </c>
      <c r="M38" s="4"/>
    </row>
    <row r="39" spans="1:13" x14ac:dyDescent="0.25">
      <c r="A39" s="4">
        <v>262</v>
      </c>
      <c r="B39" s="4">
        <v>6</v>
      </c>
      <c r="C39" s="4">
        <v>8</v>
      </c>
      <c r="D39" s="4">
        <v>-8955.1620000000003</v>
      </c>
      <c r="E39" s="4">
        <v>5029.4780000000001</v>
      </c>
      <c r="F39" s="4">
        <v>1.6939960000000001</v>
      </c>
      <c r="G39" s="4">
        <v>2.2326800000000002</v>
      </c>
      <c r="H39" s="4">
        <v>6.2304199999999996</v>
      </c>
      <c r="I39" s="4">
        <v>0.72249129999999995</v>
      </c>
      <c r="J39" s="4" t="s">
        <v>27</v>
      </c>
      <c r="K39" s="4" t="s">
        <v>27</v>
      </c>
      <c r="L39" s="4" t="s">
        <v>27</v>
      </c>
      <c r="M39" s="4"/>
    </row>
    <row r="40" spans="1:13" x14ac:dyDescent="0.25">
      <c r="A40" s="4">
        <v>266</v>
      </c>
      <c r="B40" s="4">
        <v>10</v>
      </c>
      <c r="C40" s="4">
        <v>8</v>
      </c>
      <c r="D40" s="4">
        <v>-8952.7549999999992</v>
      </c>
      <c r="E40" s="4">
        <v>5035.62</v>
      </c>
      <c r="F40" s="4">
        <v>2.083237</v>
      </c>
      <c r="G40" s="4">
        <v>3.3935040000000001</v>
      </c>
      <c r="H40" s="4">
        <v>8.4076050000000002</v>
      </c>
      <c r="I40" s="4">
        <v>0.60303779999999996</v>
      </c>
      <c r="J40" s="4" t="s">
        <v>26</v>
      </c>
      <c r="K40" s="4" t="s">
        <v>14</v>
      </c>
      <c r="L40" s="4" t="s">
        <v>14</v>
      </c>
      <c r="M40" s="4" t="s">
        <v>73</v>
      </c>
    </row>
    <row r="41" spans="1:13" x14ac:dyDescent="0.25">
      <c r="A41" s="4">
        <v>279</v>
      </c>
      <c r="B41" s="4">
        <v>23</v>
      </c>
      <c r="C41" s="4">
        <v>8</v>
      </c>
      <c r="D41" s="4">
        <v>-8956.9069999999992</v>
      </c>
      <c r="E41" s="4">
        <v>5050.875</v>
      </c>
      <c r="F41" s="4">
        <v>1.9478789999999999</v>
      </c>
      <c r="G41" s="4">
        <v>2.9613719999999999</v>
      </c>
      <c r="H41" s="4">
        <v>6.6432089999999997</v>
      </c>
      <c r="I41" s="4">
        <v>0.84290370000000003</v>
      </c>
      <c r="J41" s="4" t="s">
        <v>27</v>
      </c>
      <c r="K41" s="4" t="s">
        <v>26</v>
      </c>
      <c r="L41" s="4" t="s">
        <v>26</v>
      </c>
      <c r="M41" s="4" t="s">
        <v>28</v>
      </c>
    </row>
    <row r="42" spans="1:13" x14ac:dyDescent="0.25">
      <c r="A42" s="4">
        <v>289</v>
      </c>
      <c r="B42" s="4">
        <v>2</v>
      </c>
      <c r="C42" s="4">
        <v>9</v>
      </c>
      <c r="D42" s="4">
        <v>-6719.3230000000003</v>
      </c>
      <c r="E42" s="4">
        <v>3101.5810000000001</v>
      </c>
      <c r="F42" s="4">
        <v>1.2822089999999999</v>
      </c>
      <c r="G42" s="4">
        <v>1.2370829999999999</v>
      </c>
      <c r="H42" s="4">
        <v>6.5446369999999998</v>
      </c>
      <c r="I42" s="4">
        <v>0.36280099999999998</v>
      </c>
      <c r="J42" s="4" t="s">
        <v>27</v>
      </c>
      <c r="K42" s="4" t="s">
        <v>56</v>
      </c>
      <c r="L42" s="4" t="s">
        <v>56</v>
      </c>
      <c r="M42" s="4" t="s">
        <v>28</v>
      </c>
    </row>
    <row r="43" spans="1:13" x14ac:dyDescent="0.25">
      <c r="A43" s="4">
        <v>304</v>
      </c>
      <c r="B43" s="4">
        <v>17</v>
      </c>
      <c r="C43" s="4">
        <v>9</v>
      </c>
      <c r="D43" s="4">
        <v>-6693.277</v>
      </c>
      <c r="E43" s="4">
        <v>3114.8789999999999</v>
      </c>
      <c r="F43" s="4">
        <v>2.1439189999999999</v>
      </c>
      <c r="G43" s="4">
        <v>3.3596110000000001</v>
      </c>
      <c r="H43" s="4">
        <v>7.7160120000000001</v>
      </c>
      <c r="I43" s="4">
        <v>0.7088333</v>
      </c>
      <c r="J43" s="4" t="s">
        <v>15</v>
      </c>
      <c r="K43" s="4" t="s">
        <v>15</v>
      </c>
      <c r="L43" s="4" t="s">
        <v>15</v>
      </c>
      <c r="M43" s="4"/>
    </row>
    <row r="44" spans="1:13" x14ac:dyDescent="0.25">
      <c r="A44" s="4">
        <v>341</v>
      </c>
      <c r="B44" s="4">
        <v>1</v>
      </c>
      <c r="C44" s="4">
        <v>10</v>
      </c>
      <c r="D44" s="4">
        <v>-8682.6129999999994</v>
      </c>
      <c r="E44" s="4">
        <v>292.4144</v>
      </c>
      <c r="F44" s="4">
        <v>1.6728540000000001</v>
      </c>
      <c r="G44" s="4">
        <v>2.2093790000000002</v>
      </c>
      <c r="H44" s="4">
        <v>6.4210240000000001</v>
      </c>
      <c r="I44" s="4">
        <v>0.67313520000000004</v>
      </c>
      <c r="J44" s="4" t="s">
        <v>13</v>
      </c>
      <c r="K44" s="4" t="s">
        <v>13</v>
      </c>
      <c r="L44" s="4" t="s">
        <v>13</v>
      </c>
      <c r="M44" s="4"/>
    </row>
    <row r="45" spans="1:13" x14ac:dyDescent="0.25">
      <c r="A45" s="4">
        <v>402</v>
      </c>
      <c r="B45" s="4">
        <v>25</v>
      </c>
      <c r="C45" s="4">
        <v>11</v>
      </c>
      <c r="D45" s="4">
        <v>-11262.58</v>
      </c>
      <c r="E45" s="4">
        <v>2802.1689999999999</v>
      </c>
      <c r="F45" s="4">
        <v>0.89037029999999995</v>
      </c>
      <c r="G45" s="4">
        <v>0.55711080000000002</v>
      </c>
      <c r="H45" s="4">
        <v>3.0724640000000001</v>
      </c>
      <c r="I45" s="4">
        <v>0.74132509999999996</v>
      </c>
      <c r="J45" s="4" t="s">
        <v>27</v>
      </c>
      <c r="K45" s="4" t="s">
        <v>26</v>
      </c>
      <c r="L45" s="4" t="s">
        <v>26</v>
      </c>
      <c r="M45" s="4" t="s">
        <v>28</v>
      </c>
    </row>
  </sheetData>
  <mergeCells count="4">
    <mergeCell ref="Q11:R12"/>
    <mergeCell ref="S11:S12"/>
    <mergeCell ref="T11:T12"/>
    <mergeCell ref="U11:U12"/>
  </mergeCells>
  <conditionalFormatting sqref="A1:V2 N3:R4 S3:U11 Q5:R10 Q11 A46:I1048576 V3:V12 A2:I35 Q13:V41 N5:P41 D36:I45 A36:A45 B39:C45 J2:M1048576 N42:V1048576 W1:XFD1048576">
    <cfRule type="expression" dxfId="10" priority="9">
      <formula>OR(CELL(“col”)=COLUMN(),CELL(“row”)=ROW())</formula>
    </cfRule>
  </conditionalFormatting>
  <conditionalFormatting sqref="B36:C38">
    <cfRule type="expression" dxfId="9" priority="5">
      <formula>OR(CELL(“col”)=COLUMN(),CELL(“row”)=ROW())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4293-ECEE-428D-804C-C1F32331B1DA}">
  <dimension ref="A1:U29"/>
  <sheetViews>
    <sheetView workbookViewId="0">
      <selection activeCell="A2" sqref="A2:M29"/>
    </sheetView>
  </sheetViews>
  <sheetFormatPr defaultRowHeight="15" x14ac:dyDescent="0.25"/>
  <cols>
    <col min="8" max="8" width="10.5703125" customWidth="1"/>
    <col min="9" max="9" width="10.7109375" customWidth="1"/>
    <col min="13" max="13" width="17.2851562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1" s="3" customFormat="1" ht="30" x14ac:dyDescent="0.25">
      <c r="A1" s="10" t="s">
        <v>8</v>
      </c>
      <c r="B1" s="10" t="s">
        <v>0</v>
      </c>
      <c r="C1" s="10" t="s">
        <v>7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17</v>
      </c>
      <c r="K1" s="10" t="s">
        <v>18</v>
      </c>
      <c r="L1" s="10" t="s">
        <v>19</v>
      </c>
      <c r="M1" s="11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1" x14ac:dyDescent="0.25">
      <c r="A2" s="12">
        <v>4</v>
      </c>
      <c r="B2" s="12">
        <v>4</v>
      </c>
      <c r="C2" s="13">
        <v>1</v>
      </c>
      <c r="D2" s="12">
        <v>-11113.470703125</v>
      </c>
      <c r="E2" s="12">
        <v>2714.93237304688</v>
      </c>
      <c r="F2" s="13" t="s">
        <v>34</v>
      </c>
      <c r="G2" s="13" t="s">
        <v>34</v>
      </c>
      <c r="H2" s="13" t="s">
        <v>34</v>
      </c>
      <c r="I2" s="13" t="s">
        <v>34</v>
      </c>
      <c r="J2" s="13" t="s">
        <v>27</v>
      </c>
      <c r="K2" s="13" t="s">
        <v>26</v>
      </c>
      <c r="L2" s="13" t="s">
        <v>26</v>
      </c>
      <c r="M2" s="13" t="s">
        <v>28</v>
      </c>
      <c r="P2" t="s">
        <v>13</v>
      </c>
      <c r="Q2" t="s">
        <v>13</v>
      </c>
      <c r="R2">
        <f>COUNTIF(J:J,$Q2)</f>
        <v>0</v>
      </c>
      <c r="S2">
        <f>COUNTIF(K:K,$Q2)</f>
        <v>0</v>
      </c>
      <c r="T2">
        <f>COUNTIF(L:L,$Q2)</f>
        <v>0</v>
      </c>
    </row>
    <row r="3" spans="1:21" x14ac:dyDescent="0.25">
      <c r="A3" s="12">
        <v>8</v>
      </c>
      <c r="B3" s="12">
        <v>8</v>
      </c>
      <c r="C3" s="13">
        <v>1</v>
      </c>
      <c r="D3" s="12">
        <v>-11159.00390625</v>
      </c>
      <c r="E3" s="12">
        <v>2727.82104492188</v>
      </c>
      <c r="F3" s="13" t="s">
        <v>34</v>
      </c>
      <c r="G3" s="13" t="s">
        <v>34</v>
      </c>
      <c r="H3" s="13" t="s">
        <v>34</v>
      </c>
      <c r="I3" s="13" t="s">
        <v>34</v>
      </c>
      <c r="J3" s="13" t="s">
        <v>31</v>
      </c>
      <c r="K3" s="13" t="s">
        <v>26</v>
      </c>
      <c r="L3" s="13" t="s">
        <v>31</v>
      </c>
      <c r="M3" s="13" t="s">
        <v>28</v>
      </c>
      <c r="P3" t="s">
        <v>14</v>
      </c>
      <c r="Q3" t="s">
        <v>14</v>
      </c>
      <c r="R3">
        <f>COUNTIF(J:J,$Q3)</f>
        <v>1</v>
      </c>
      <c r="S3">
        <f>COUNTIF(K:K,$Q3)</f>
        <v>0</v>
      </c>
      <c r="T3">
        <f>COUNTIF(L:L,$Q3)</f>
        <v>1</v>
      </c>
    </row>
    <row r="4" spans="1:21" x14ac:dyDescent="0.25">
      <c r="A4" s="12">
        <v>19</v>
      </c>
      <c r="B4" s="12">
        <v>19</v>
      </c>
      <c r="C4" s="13">
        <v>1</v>
      </c>
      <c r="D4" s="12">
        <v>-11100.455078125</v>
      </c>
      <c r="E4" s="12">
        <v>2781.19580078125</v>
      </c>
      <c r="F4" s="13" t="s">
        <v>34</v>
      </c>
      <c r="G4" s="13" t="s">
        <v>34</v>
      </c>
      <c r="H4" s="13" t="s">
        <v>34</v>
      </c>
      <c r="I4" s="13" t="s">
        <v>34</v>
      </c>
      <c r="J4" s="13" t="s">
        <v>31</v>
      </c>
      <c r="K4" s="13" t="s">
        <v>26</v>
      </c>
      <c r="L4" s="13" t="s">
        <v>31</v>
      </c>
      <c r="M4" s="13" t="s">
        <v>28</v>
      </c>
      <c r="P4" t="s">
        <v>15</v>
      </c>
      <c r="Q4" t="s">
        <v>15</v>
      </c>
      <c r="R4">
        <f>COUNTIF(J:J,$Q4)</f>
        <v>0</v>
      </c>
      <c r="S4">
        <f>COUNTIF(K:K,$Q4)</f>
        <v>0</v>
      </c>
      <c r="T4">
        <f>COUNTIF(L:L,$Q4)</f>
        <v>0</v>
      </c>
    </row>
    <row r="5" spans="1:21" x14ac:dyDescent="0.25">
      <c r="A5" s="12">
        <v>35</v>
      </c>
      <c r="B5" s="12">
        <v>11</v>
      </c>
      <c r="C5" s="12" t="s">
        <v>32</v>
      </c>
      <c r="D5" s="12">
        <v>-10955.33</v>
      </c>
      <c r="E5" s="12">
        <v>2694.5340000000001</v>
      </c>
      <c r="F5" s="12">
        <v>3.958202</v>
      </c>
      <c r="G5" s="12">
        <v>12.21561</v>
      </c>
      <c r="H5" s="12">
        <v>13.509829999999999</v>
      </c>
      <c r="I5" s="12">
        <v>0.84083669999999999</v>
      </c>
      <c r="J5" s="13" t="s">
        <v>31</v>
      </c>
      <c r="K5" s="13" t="s">
        <v>26</v>
      </c>
      <c r="L5" s="13" t="s">
        <v>31</v>
      </c>
      <c r="M5" s="13" t="s">
        <v>38</v>
      </c>
      <c r="P5" t="s">
        <v>30</v>
      </c>
      <c r="Q5" t="s">
        <v>31</v>
      </c>
      <c r="R5">
        <f>COUNTIF(J:J,$Q5)</f>
        <v>19</v>
      </c>
      <c r="S5">
        <f>COUNTIF(K:K,$Q5)</f>
        <v>3</v>
      </c>
      <c r="T5">
        <f>COUNTIF(L:L,$Q5)</f>
        <v>19</v>
      </c>
    </row>
    <row r="6" spans="1:21" ht="15" customHeight="1" x14ac:dyDescent="0.25">
      <c r="A6" s="12">
        <v>41</v>
      </c>
      <c r="B6" s="12">
        <v>17</v>
      </c>
      <c r="C6" s="12" t="s">
        <v>32</v>
      </c>
      <c r="D6" s="12">
        <v>-10901.09</v>
      </c>
      <c r="E6" s="12">
        <v>2726.1689999999999</v>
      </c>
      <c r="F6" s="12">
        <v>3.6484519999999998</v>
      </c>
      <c r="G6" s="12">
        <v>10.66644</v>
      </c>
      <c r="H6" s="12">
        <v>14.017160000000001</v>
      </c>
      <c r="I6" s="12">
        <v>0.6820176</v>
      </c>
      <c r="J6" s="13" t="s">
        <v>25</v>
      </c>
      <c r="K6" s="13" t="s">
        <v>26</v>
      </c>
      <c r="L6" s="13" t="s">
        <v>25</v>
      </c>
      <c r="M6" s="13" t="s">
        <v>37</v>
      </c>
      <c r="P6" t="s">
        <v>22</v>
      </c>
      <c r="Q6" t="s">
        <v>25</v>
      </c>
      <c r="R6">
        <f>COUNTIF(J:J,$Q6)</f>
        <v>6</v>
      </c>
      <c r="S6">
        <f>COUNTIF(K:K,$Q6)</f>
        <v>0</v>
      </c>
      <c r="T6">
        <f>COUNTIF(L:L,$Q6)</f>
        <v>6</v>
      </c>
    </row>
    <row r="7" spans="1:21" x14ac:dyDescent="0.25">
      <c r="A7" s="12">
        <v>42</v>
      </c>
      <c r="B7" s="12">
        <v>18</v>
      </c>
      <c r="C7" s="12" t="s">
        <v>32</v>
      </c>
      <c r="D7" s="12">
        <v>-10945.78</v>
      </c>
      <c r="E7" s="12">
        <v>2733.665</v>
      </c>
      <c r="F7" s="12">
        <v>5.9534649999999996</v>
      </c>
      <c r="G7" s="12">
        <v>27.32639</v>
      </c>
      <c r="H7" s="12">
        <v>21.016500000000001</v>
      </c>
      <c r="I7" s="12">
        <v>0.77724519999999997</v>
      </c>
      <c r="J7" s="13" t="s">
        <v>31</v>
      </c>
      <c r="K7" s="13" t="s">
        <v>26</v>
      </c>
      <c r="L7" s="13" t="s">
        <v>31</v>
      </c>
      <c r="M7" s="13" t="s">
        <v>28</v>
      </c>
      <c r="P7" t="s">
        <v>21</v>
      </c>
      <c r="Q7" t="s">
        <v>26</v>
      </c>
      <c r="R7">
        <f>COUNTIF(J:J,$Q7)</f>
        <v>0</v>
      </c>
      <c r="S7">
        <f>COUNTIF(K:K,$Q7)</f>
        <v>24</v>
      </c>
      <c r="T7">
        <f>COUNTIF(L:L,$Q7)</f>
        <v>1</v>
      </c>
    </row>
    <row r="8" spans="1:21" ht="15" customHeight="1" x14ac:dyDescent="0.25">
      <c r="A8" s="12">
        <v>50</v>
      </c>
      <c r="B8" s="12">
        <v>1</v>
      </c>
      <c r="C8" s="12">
        <v>3</v>
      </c>
      <c r="D8" s="12">
        <v>-10829.7</v>
      </c>
      <c r="E8" s="12">
        <v>2649.8380000000002</v>
      </c>
      <c r="F8" s="12">
        <v>2.6928369999999999</v>
      </c>
      <c r="G8" s="12">
        <v>5.5702499999999997</v>
      </c>
      <c r="H8" s="12">
        <v>8.8392490000000006</v>
      </c>
      <c r="I8" s="12">
        <v>0.89565410000000001</v>
      </c>
      <c r="J8" s="13" t="s">
        <v>27</v>
      </c>
      <c r="K8" s="13" t="s">
        <v>26</v>
      </c>
      <c r="L8" s="13" t="s">
        <v>27</v>
      </c>
      <c r="M8" s="13" t="s">
        <v>28</v>
      </c>
      <c r="P8" t="s">
        <v>23</v>
      </c>
      <c r="Q8" t="s">
        <v>27</v>
      </c>
      <c r="R8">
        <f>COUNTIF(J:J,$Q8)</f>
        <v>2</v>
      </c>
      <c r="S8">
        <f>COUNTIF(K:K,$Q8)</f>
        <v>1</v>
      </c>
      <c r="T8">
        <f>COUNTIF(L:L,$Q8)</f>
        <v>1</v>
      </c>
      <c r="U8" s="2"/>
    </row>
    <row r="9" spans="1:21" x14ac:dyDescent="0.25">
      <c r="A9" s="12">
        <v>61</v>
      </c>
      <c r="B9" s="12">
        <v>12</v>
      </c>
      <c r="C9" s="12">
        <v>3</v>
      </c>
      <c r="D9" s="12">
        <v>-10857.78</v>
      </c>
      <c r="E9" s="12">
        <v>2700.643</v>
      </c>
      <c r="F9" s="12">
        <v>5.8151929999999998</v>
      </c>
      <c r="G9" s="12">
        <v>25.337019999999999</v>
      </c>
      <c r="H9" s="12">
        <v>21.479179999999999</v>
      </c>
      <c r="I9" s="12">
        <v>0.68994800000000001</v>
      </c>
      <c r="J9" s="13" t="s">
        <v>14</v>
      </c>
      <c r="K9" s="13" t="s">
        <v>26</v>
      </c>
      <c r="L9" s="13" t="s">
        <v>14</v>
      </c>
      <c r="M9" s="13" t="s">
        <v>28</v>
      </c>
      <c r="P9" s="5" t="s">
        <v>16</v>
      </c>
      <c r="Q9" s="5"/>
      <c r="R9" s="6">
        <f>SUM(R2:R8)</f>
        <v>28</v>
      </c>
      <c r="S9" s="5">
        <f>SUM(S2:S8)</f>
        <v>28</v>
      </c>
      <c r="T9" s="5">
        <f>SUM(T2:T8)</f>
        <v>28</v>
      </c>
      <c r="U9" s="2"/>
    </row>
    <row r="10" spans="1:21" x14ac:dyDescent="0.25">
      <c r="A10" s="12">
        <v>83</v>
      </c>
      <c r="B10" s="12">
        <v>8</v>
      </c>
      <c r="C10" s="12" t="s">
        <v>33</v>
      </c>
      <c r="D10" s="12">
        <v>-11536.78</v>
      </c>
      <c r="E10" s="12">
        <v>-2244.7179999999998</v>
      </c>
      <c r="F10" s="12">
        <v>3.5764640000000001</v>
      </c>
      <c r="G10" s="12">
        <v>9.17652</v>
      </c>
      <c r="H10" s="12">
        <v>11.980180000000001</v>
      </c>
      <c r="I10" s="12">
        <v>0.80324450000000003</v>
      </c>
      <c r="J10" s="13" t="s">
        <v>31</v>
      </c>
      <c r="K10" s="13" t="s">
        <v>26</v>
      </c>
      <c r="L10" s="13" t="s">
        <v>31</v>
      </c>
      <c r="M10" s="13" t="s">
        <v>28</v>
      </c>
      <c r="P10" s="5"/>
      <c r="Q10" s="5"/>
      <c r="R10" s="6"/>
      <c r="S10" s="5"/>
      <c r="T10" s="5"/>
    </row>
    <row r="11" spans="1:21" x14ac:dyDescent="0.25">
      <c r="A11" s="12">
        <v>86</v>
      </c>
      <c r="B11" s="12">
        <v>11</v>
      </c>
      <c r="C11" s="12" t="s">
        <v>33</v>
      </c>
      <c r="D11" s="12">
        <v>-11617.6</v>
      </c>
      <c r="E11" s="12">
        <v>-2239.0479999999998</v>
      </c>
      <c r="F11" s="12">
        <v>2.882142</v>
      </c>
      <c r="G11" s="12">
        <v>6.4760499999999999</v>
      </c>
      <c r="H11" s="12">
        <v>9.9562729999999995</v>
      </c>
      <c r="I11" s="12">
        <v>0.82075390000000004</v>
      </c>
      <c r="J11" s="13" t="s">
        <v>31</v>
      </c>
      <c r="K11" s="13" t="s">
        <v>26</v>
      </c>
      <c r="L11" s="13" t="s">
        <v>31</v>
      </c>
      <c r="M11" s="13" t="s">
        <v>28</v>
      </c>
    </row>
    <row r="12" spans="1:21" x14ac:dyDescent="0.25">
      <c r="A12" s="12">
        <v>140</v>
      </c>
      <c r="B12" s="12">
        <v>10</v>
      </c>
      <c r="C12" s="12">
        <v>5</v>
      </c>
      <c r="D12" s="12">
        <v>-11399.61</v>
      </c>
      <c r="E12" s="12">
        <v>-2240.8229999999999</v>
      </c>
      <c r="F12" s="12">
        <v>3.553118</v>
      </c>
      <c r="G12" s="12">
        <v>9.5828609999999994</v>
      </c>
      <c r="H12" s="12">
        <v>11.93554</v>
      </c>
      <c r="I12" s="12">
        <v>0.8450993</v>
      </c>
      <c r="J12" s="13" t="s">
        <v>31</v>
      </c>
      <c r="K12" s="13" t="s">
        <v>26</v>
      </c>
      <c r="L12" s="13" t="s">
        <v>31</v>
      </c>
      <c r="M12" s="13" t="s">
        <v>28</v>
      </c>
    </row>
    <row r="13" spans="1:21" ht="30" x14ac:dyDescent="0.25">
      <c r="A13" s="12">
        <v>142</v>
      </c>
      <c r="B13" s="12">
        <v>12</v>
      </c>
      <c r="C13" s="12">
        <v>5</v>
      </c>
      <c r="D13" s="12">
        <v>-11447.08</v>
      </c>
      <c r="E13" s="12">
        <v>-2238.73</v>
      </c>
      <c r="F13" s="12">
        <v>3.022694</v>
      </c>
      <c r="G13" s="12">
        <v>7.1702149999999998</v>
      </c>
      <c r="H13" s="12">
        <v>10.432040000000001</v>
      </c>
      <c r="I13" s="12">
        <v>0.82773319999999995</v>
      </c>
      <c r="J13" s="13" t="s">
        <v>25</v>
      </c>
      <c r="K13" s="13" t="s">
        <v>26</v>
      </c>
      <c r="L13" s="13" t="s">
        <v>25</v>
      </c>
      <c r="M13" s="13" t="s">
        <v>39</v>
      </c>
    </row>
    <row r="14" spans="1:21" x14ac:dyDescent="0.25">
      <c r="A14" s="12">
        <v>146</v>
      </c>
      <c r="B14" s="12">
        <v>16</v>
      </c>
      <c r="C14" s="12">
        <v>5</v>
      </c>
      <c r="D14" s="12">
        <v>-11431.18</v>
      </c>
      <c r="E14" s="12">
        <v>-2235.1759999999999</v>
      </c>
      <c r="F14" s="12">
        <v>3.7307980000000001</v>
      </c>
      <c r="G14" s="12">
        <v>10.818809999999999</v>
      </c>
      <c r="H14" s="12">
        <v>12.608370000000001</v>
      </c>
      <c r="I14" s="12">
        <v>0.85498479999999999</v>
      </c>
      <c r="J14" s="13" t="s">
        <v>31</v>
      </c>
      <c r="K14" s="13" t="s">
        <v>26</v>
      </c>
      <c r="L14" s="13" t="s">
        <v>31</v>
      </c>
      <c r="M14" s="13" t="s">
        <v>28</v>
      </c>
    </row>
    <row r="15" spans="1:21" x14ac:dyDescent="0.25">
      <c r="A15" s="12">
        <v>149</v>
      </c>
      <c r="B15" s="12">
        <v>19</v>
      </c>
      <c r="C15" s="12">
        <v>5</v>
      </c>
      <c r="D15" s="12">
        <v>-11397.41</v>
      </c>
      <c r="E15" s="12">
        <v>-2218.0349999999999</v>
      </c>
      <c r="F15" s="12">
        <v>1.7083930000000001</v>
      </c>
      <c r="G15" s="12">
        <v>2.192545</v>
      </c>
      <c r="H15" s="12">
        <v>5.6221069999999997</v>
      </c>
      <c r="I15" s="12">
        <v>0.87145850000000002</v>
      </c>
      <c r="J15" s="13" t="s">
        <v>31</v>
      </c>
      <c r="K15" s="13" t="s">
        <v>31</v>
      </c>
      <c r="L15" s="13" t="s">
        <v>31</v>
      </c>
      <c r="M15" s="13" t="s">
        <v>28</v>
      </c>
    </row>
    <row r="16" spans="1:21" ht="30" x14ac:dyDescent="0.25">
      <c r="A16" s="12">
        <v>150</v>
      </c>
      <c r="B16" s="12">
        <v>20</v>
      </c>
      <c r="C16" s="12">
        <v>5</v>
      </c>
      <c r="D16" s="12">
        <v>-11392.55</v>
      </c>
      <c r="E16" s="12">
        <v>-2219.52</v>
      </c>
      <c r="F16" s="12">
        <v>5.024044</v>
      </c>
      <c r="G16" s="12">
        <v>20.113849999999999</v>
      </c>
      <c r="H16" s="12">
        <v>18.154260000000001</v>
      </c>
      <c r="I16" s="12">
        <v>0.76671590000000001</v>
      </c>
      <c r="J16" s="13" t="s">
        <v>25</v>
      </c>
      <c r="K16" s="13" t="s">
        <v>26</v>
      </c>
      <c r="L16" s="13" t="s">
        <v>25</v>
      </c>
      <c r="M16" s="13" t="s">
        <v>37</v>
      </c>
    </row>
    <row r="17" spans="1:13" ht="30" x14ac:dyDescent="0.25">
      <c r="A17" s="12">
        <v>157</v>
      </c>
      <c r="B17" s="12">
        <v>27</v>
      </c>
      <c r="C17" s="12">
        <v>5</v>
      </c>
      <c r="D17" s="12">
        <v>-11453.79</v>
      </c>
      <c r="E17" s="12">
        <v>-2213.6239999999998</v>
      </c>
      <c r="F17" s="12">
        <v>5.9249470000000004</v>
      </c>
      <c r="G17" s="12">
        <v>26.95391</v>
      </c>
      <c r="H17" s="12">
        <v>21.40297</v>
      </c>
      <c r="I17" s="12">
        <v>0.73921380000000003</v>
      </c>
      <c r="J17" s="13" t="s">
        <v>25</v>
      </c>
      <c r="K17" s="13" t="s">
        <v>26</v>
      </c>
      <c r="L17" s="13" t="s">
        <v>25</v>
      </c>
      <c r="M17" s="13" t="s">
        <v>37</v>
      </c>
    </row>
    <row r="18" spans="1:13" x14ac:dyDescent="0.25">
      <c r="A18" s="12">
        <v>170</v>
      </c>
      <c r="B18" s="12">
        <v>40</v>
      </c>
      <c r="C18" s="12">
        <v>5</v>
      </c>
      <c r="D18" s="12">
        <v>-11531.01</v>
      </c>
      <c r="E18" s="12">
        <v>-2164.1039999999998</v>
      </c>
      <c r="F18" s="12">
        <v>3.5071560000000002</v>
      </c>
      <c r="G18" s="12">
        <v>8.9648850000000007</v>
      </c>
      <c r="H18" s="12">
        <v>12.36124</v>
      </c>
      <c r="I18" s="12">
        <v>0.73708430000000003</v>
      </c>
      <c r="J18" s="13" t="s">
        <v>31</v>
      </c>
      <c r="K18" s="13" t="s">
        <v>26</v>
      </c>
      <c r="L18" s="13" t="s">
        <v>31</v>
      </c>
      <c r="M18" s="13" t="s">
        <v>28</v>
      </c>
    </row>
    <row r="19" spans="1:13" x14ac:dyDescent="0.25">
      <c r="A19" s="12">
        <v>185</v>
      </c>
      <c r="B19" s="12">
        <v>55</v>
      </c>
      <c r="C19" s="12">
        <v>5</v>
      </c>
      <c r="D19" s="12">
        <v>-11382.48</v>
      </c>
      <c r="E19" s="12">
        <v>-2139.7159999999999</v>
      </c>
      <c r="F19" s="12">
        <v>4.1534769999999996</v>
      </c>
      <c r="G19" s="12">
        <v>11.39446</v>
      </c>
      <c r="H19" s="12">
        <v>16.080290000000002</v>
      </c>
      <c r="I19" s="12">
        <v>0.55360779999999998</v>
      </c>
      <c r="J19" s="13" t="s">
        <v>25</v>
      </c>
      <c r="K19" s="13" t="s">
        <v>26</v>
      </c>
      <c r="L19" s="13" t="s">
        <v>25</v>
      </c>
      <c r="M19" s="13" t="s">
        <v>36</v>
      </c>
    </row>
    <row r="20" spans="1:13" x14ac:dyDescent="0.25">
      <c r="A20" s="12">
        <v>188</v>
      </c>
      <c r="B20" s="12">
        <v>3</v>
      </c>
      <c r="C20" s="12">
        <v>6</v>
      </c>
      <c r="D20" s="12">
        <v>-11310.67</v>
      </c>
      <c r="E20" s="12">
        <v>-2276.297</v>
      </c>
      <c r="F20" s="12">
        <v>1.6944710000000001</v>
      </c>
      <c r="G20" s="12">
        <v>2.107891</v>
      </c>
      <c r="H20" s="12">
        <v>5.7298869999999997</v>
      </c>
      <c r="I20" s="12">
        <v>0.80658929999999995</v>
      </c>
      <c r="J20" s="13" t="s">
        <v>31</v>
      </c>
      <c r="K20" s="13" t="s">
        <v>26</v>
      </c>
      <c r="L20" s="13" t="s">
        <v>31</v>
      </c>
      <c r="M20" s="13" t="s">
        <v>28</v>
      </c>
    </row>
    <row r="21" spans="1:13" x14ac:dyDescent="0.25">
      <c r="A21" s="12">
        <v>191</v>
      </c>
      <c r="B21" s="12">
        <v>6</v>
      </c>
      <c r="C21" s="12">
        <v>6</v>
      </c>
      <c r="D21" s="12">
        <v>-11298.7</v>
      </c>
      <c r="E21" s="12">
        <v>-2274.364</v>
      </c>
      <c r="F21" s="12">
        <v>3.2714910000000001</v>
      </c>
      <c r="G21" s="12">
        <v>8.3384440000000009</v>
      </c>
      <c r="H21" s="12">
        <v>11.060219999999999</v>
      </c>
      <c r="I21" s="12">
        <v>0.85635470000000002</v>
      </c>
      <c r="J21" s="13" t="s">
        <v>31</v>
      </c>
      <c r="K21" s="13" t="s">
        <v>26</v>
      </c>
      <c r="L21" s="13" t="s">
        <v>31</v>
      </c>
      <c r="M21" s="13" t="s">
        <v>28</v>
      </c>
    </row>
    <row r="22" spans="1:13" x14ac:dyDescent="0.25">
      <c r="A22" s="12">
        <v>194</v>
      </c>
      <c r="B22" s="12">
        <v>9</v>
      </c>
      <c r="C22" s="12">
        <v>6</v>
      </c>
      <c r="D22" s="12">
        <v>-11287.12</v>
      </c>
      <c r="E22" s="12">
        <v>-2267.0830000000001</v>
      </c>
      <c r="F22" s="12">
        <v>5.0561610000000003</v>
      </c>
      <c r="G22" s="12">
        <v>19.199580000000001</v>
      </c>
      <c r="H22" s="12">
        <v>17.158090000000001</v>
      </c>
      <c r="I22" s="12">
        <v>0.81931370000000003</v>
      </c>
      <c r="J22" s="13" t="s">
        <v>31</v>
      </c>
      <c r="K22" s="13" t="s">
        <v>31</v>
      </c>
      <c r="L22" s="13" t="s">
        <v>31</v>
      </c>
      <c r="M22" s="13"/>
    </row>
    <row r="23" spans="1:13" x14ac:dyDescent="0.25">
      <c r="A23" s="12">
        <v>196</v>
      </c>
      <c r="B23" s="12">
        <v>11</v>
      </c>
      <c r="C23" s="12">
        <v>6</v>
      </c>
      <c r="D23" s="12">
        <v>-11347.97</v>
      </c>
      <c r="E23" s="12">
        <v>-2263.261</v>
      </c>
      <c r="F23" s="12">
        <v>2.4409230000000002</v>
      </c>
      <c r="G23" s="12">
        <v>4.6221220000000001</v>
      </c>
      <c r="H23" s="12">
        <v>8.534402</v>
      </c>
      <c r="I23" s="12">
        <v>0.79724459999999997</v>
      </c>
      <c r="J23" s="13" t="s">
        <v>31</v>
      </c>
      <c r="K23" s="13" t="s">
        <v>26</v>
      </c>
      <c r="L23" s="13" t="s">
        <v>31</v>
      </c>
      <c r="M23" s="13" t="s">
        <v>28</v>
      </c>
    </row>
    <row r="24" spans="1:13" x14ac:dyDescent="0.25">
      <c r="A24" s="12">
        <v>200</v>
      </c>
      <c r="B24" s="12">
        <v>15</v>
      </c>
      <c r="C24" s="12">
        <v>6</v>
      </c>
      <c r="D24" s="12">
        <v>-11263.57</v>
      </c>
      <c r="E24" s="12">
        <v>-2259.2170000000001</v>
      </c>
      <c r="F24" s="12">
        <v>2.503933</v>
      </c>
      <c r="G24" s="12">
        <v>4.8083619999999998</v>
      </c>
      <c r="H24" s="12">
        <v>8.3188429999999993</v>
      </c>
      <c r="I24" s="12">
        <v>0.87290639999999997</v>
      </c>
      <c r="J24" s="13" t="s">
        <v>31</v>
      </c>
      <c r="K24" s="13" t="s">
        <v>26</v>
      </c>
      <c r="L24" s="13" t="s">
        <v>31</v>
      </c>
      <c r="M24" s="13" t="s">
        <v>28</v>
      </c>
    </row>
    <row r="25" spans="1:13" x14ac:dyDescent="0.25">
      <c r="A25" s="12">
        <v>201</v>
      </c>
      <c r="B25" s="12">
        <v>16</v>
      </c>
      <c r="C25" s="12">
        <v>6</v>
      </c>
      <c r="D25" s="12">
        <v>-11293.13</v>
      </c>
      <c r="E25" s="12">
        <v>-2259.643</v>
      </c>
      <c r="F25" s="12">
        <v>3.4979629999999999</v>
      </c>
      <c r="G25" s="12">
        <v>8.9394880000000008</v>
      </c>
      <c r="H25" s="12">
        <v>11.459770000000001</v>
      </c>
      <c r="I25" s="12">
        <v>0.85517900000000002</v>
      </c>
      <c r="J25" s="13" t="s">
        <v>31</v>
      </c>
      <c r="K25" s="13" t="s">
        <v>26</v>
      </c>
      <c r="L25" s="13" t="s">
        <v>31</v>
      </c>
      <c r="M25" s="13" t="s">
        <v>28</v>
      </c>
    </row>
    <row r="26" spans="1:13" x14ac:dyDescent="0.25">
      <c r="A26" s="12">
        <v>209</v>
      </c>
      <c r="B26" s="12">
        <v>24</v>
      </c>
      <c r="C26" s="12">
        <v>6</v>
      </c>
      <c r="D26" s="12">
        <v>-11204.22</v>
      </c>
      <c r="E26" s="12">
        <v>-2247.2530000000002</v>
      </c>
      <c r="F26" s="12">
        <v>2.0497589999999999</v>
      </c>
      <c r="G26" s="12">
        <v>3.3269120000000001</v>
      </c>
      <c r="H26" s="12">
        <v>6.9862590000000004</v>
      </c>
      <c r="I26" s="12">
        <v>0.8563442</v>
      </c>
      <c r="J26" s="13" t="s">
        <v>31</v>
      </c>
      <c r="K26" s="13" t="s">
        <v>31</v>
      </c>
      <c r="L26" s="13" t="s">
        <v>31</v>
      </c>
      <c r="M26" s="13" t="s">
        <v>28</v>
      </c>
    </row>
    <row r="27" spans="1:13" x14ac:dyDescent="0.25">
      <c r="A27" s="12">
        <v>220</v>
      </c>
      <c r="B27" s="12">
        <v>35</v>
      </c>
      <c r="C27" s="12">
        <v>6</v>
      </c>
      <c r="D27" s="12">
        <v>-11205.25</v>
      </c>
      <c r="E27" s="12">
        <v>-2226.6570000000002</v>
      </c>
      <c r="F27" s="12">
        <v>2.1383450000000002</v>
      </c>
      <c r="G27" s="12">
        <v>3.673994</v>
      </c>
      <c r="H27" s="12">
        <v>7.3226740000000001</v>
      </c>
      <c r="I27" s="12">
        <v>0.86078659999999996</v>
      </c>
      <c r="J27" s="13" t="s">
        <v>31</v>
      </c>
      <c r="K27" s="13" t="s">
        <v>27</v>
      </c>
      <c r="L27" s="13" t="s">
        <v>31</v>
      </c>
      <c r="M27" s="12"/>
    </row>
    <row r="28" spans="1:13" x14ac:dyDescent="0.25">
      <c r="A28" s="12">
        <v>225</v>
      </c>
      <c r="B28" s="12">
        <v>40</v>
      </c>
      <c r="C28" s="12">
        <v>6</v>
      </c>
      <c r="D28" s="12">
        <v>-11332.63</v>
      </c>
      <c r="E28" s="12">
        <v>-2219.049</v>
      </c>
      <c r="F28" s="12">
        <v>2.5324559999999998</v>
      </c>
      <c r="G28" s="12">
        <v>5.1554440000000001</v>
      </c>
      <c r="H28" s="12">
        <v>8.6552570000000006</v>
      </c>
      <c r="I28" s="12">
        <v>0.86457459999999997</v>
      </c>
      <c r="J28" s="13" t="s">
        <v>31</v>
      </c>
      <c r="K28" s="13" t="s">
        <v>26</v>
      </c>
      <c r="L28" s="13" t="s">
        <v>31</v>
      </c>
      <c r="M28" s="13" t="s">
        <v>28</v>
      </c>
    </row>
    <row r="29" spans="1:13" ht="30" x14ac:dyDescent="0.25">
      <c r="A29" s="12">
        <v>227</v>
      </c>
      <c r="B29" s="12">
        <v>42</v>
      </c>
      <c r="C29" s="12">
        <v>6</v>
      </c>
      <c r="D29" s="12">
        <v>-11208.33</v>
      </c>
      <c r="E29" s="12">
        <v>-2216.9009999999998</v>
      </c>
      <c r="F29" s="12">
        <v>3.2814890000000001</v>
      </c>
      <c r="G29" s="12">
        <v>8.3638399999999997</v>
      </c>
      <c r="H29" s="12">
        <v>11.244210000000001</v>
      </c>
      <c r="I29" s="12">
        <v>0.83108199999999999</v>
      </c>
      <c r="J29" s="13" t="s">
        <v>25</v>
      </c>
      <c r="K29" s="13" t="s">
        <v>26</v>
      </c>
      <c r="L29" s="13" t="s">
        <v>25</v>
      </c>
      <c r="M29" s="13" t="s">
        <v>40</v>
      </c>
    </row>
  </sheetData>
  <sortState xmlns:xlrd2="http://schemas.microsoft.com/office/spreadsheetml/2017/richdata2" ref="A2:M26">
    <sortCondition ref="K1:K26"/>
  </sortState>
  <mergeCells count="4">
    <mergeCell ref="P9:Q10"/>
    <mergeCell ref="R9:R10"/>
    <mergeCell ref="S9:S10"/>
    <mergeCell ref="T9:T10"/>
  </mergeCells>
  <conditionalFormatting sqref="N2:U2 R3:T9 P5:Q8 P9:P10 D30:G39 C30:C46 A30:B1048576 D40:D41 G40:G41 D42:G44 F45:G46 C47:G47 D48:G64 C48:C202 D65:D66 G65:G117 D67:F77 D78:D117 D118:G126 F127:G130 D131:G178 D179:D181 G179:G181 D182:G199 F200:G202 C203:G1048576 A1:U1 N3:Q4 H30:M1048576 C2:I4 U3:U10 H28:I29 E5:I19 F20:I27 E20:E29 P11:U1048576 V1:XFD1048576 N5:O1048576 B5:D29 J2:M29">
    <cfRule type="expression" dxfId="8" priority="5">
      <formula>OR(CELL(“col”)=COLUMN(),CELL(“row”)=ROW())</formula>
    </cfRule>
  </conditionalFormatting>
  <conditionalFormatting sqref="D45:E45">
    <cfRule type="expression" dxfId="7" priority="1">
      <formula>OR(CELL(“col”)=COLUMN(),CELL(“row”)=ROW())</formula>
    </cfRule>
  </conditionalFormatting>
  <conditionalFormatting sqref="E40:F40">
    <cfRule type="expression" dxfId="6" priority="2">
      <formula>OR(CELL(“col”)=COLUMN(),CELL(“row”)=ROW())</formula>
    </cfRule>
  </conditionalFormatting>
  <conditionalFormatting sqref="E65:F65">
    <cfRule type="expression" dxfId="5" priority="4">
      <formula>OR(CELL(“col”)=COLUMN(),CELL(“row”)=ROW())</formula>
    </cfRule>
  </conditionalFormatting>
  <conditionalFormatting sqref="E78:F113">
    <cfRule type="expression" dxfId="4" priority="3">
      <formula>OR(CELL(“col”)=COLUMN(),CELL(“row”)=ROW())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C310-3BB6-4174-8905-233EDD7843BB}">
  <dimension ref="A1:T163"/>
  <sheetViews>
    <sheetView workbookViewId="0">
      <selection activeCell="O10" sqref="O10"/>
    </sheetView>
  </sheetViews>
  <sheetFormatPr defaultRowHeight="15" x14ac:dyDescent="0.25"/>
  <cols>
    <col min="8" max="8" width="10.5703125" customWidth="1"/>
    <col min="9" max="9" width="10.7109375" customWidth="1"/>
    <col min="13" max="13" width="16.8554687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0" s="3" customFormat="1" ht="30" x14ac:dyDescent="0.25">
      <c r="A1" s="14" t="s">
        <v>8</v>
      </c>
      <c r="B1" s="14" t="s">
        <v>0</v>
      </c>
      <c r="C1" s="14" t="s">
        <v>7</v>
      </c>
      <c r="D1" s="14" t="s">
        <v>1</v>
      </c>
      <c r="E1" s="14" t="s">
        <v>2</v>
      </c>
      <c r="F1" s="14" t="s">
        <v>3</v>
      </c>
      <c r="G1" s="14" t="s">
        <v>4</v>
      </c>
      <c r="H1" s="14" t="s">
        <v>5</v>
      </c>
      <c r="I1" s="14" t="s">
        <v>6</v>
      </c>
      <c r="J1" s="14" t="s">
        <v>17</v>
      </c>
      <c r="K1" s="14" t="s">
        <v>18</v>
      </c>
      <c r="L1" s="14" t="s">
        <v>19</v>
      </c>
      <c r="M1" s="14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0" x14ac:dyDescent="0.25">
      <c r="A2" s="7">
        <v>2</v>
      </c>
      <c r="B2" s="7">
        <v>2</v>
      </c>
      <c r="C2" s="7">
        <v>1</v>
      </c>
      <c r="D2" s="7" t="s">
        <v>34</v>
      </c>
      <c r="E2" s="7" t="s">
        <v>34</v>
      </c>
      <c r="F2" s="7" t="s">
        <v>34</v>
      </c>
      <c r="G2" s="7" t="s">
        <v>34</v>
      </c>
      <c r="H2" s="7" t="s">
        <v>34</v>
      </c>
      <c r="I2" s="7" t="s">
        <v>34</v>
      </c>
      <c r="J2" s="7" t="s">
        <v>15</v>
      </c>
      <c r="K2" s="7" t="s">
        <v>15</v>
      </c>
      <c r="L2" s="7" t="s">
        <v>15</v>
      </c>
      <c r="M2" s="7"/>
      <c r="P2" t="s">
        <v>13</v>
      </c>
      <c r="Q2" t="s">
        <v>13</v>
      </c>
      <c r="R2">
        <f>COUNTIF(J:J,$Q2)</f>
        <v>29</v>
      </c>
      <c r="S2">
        <f>COUNTIF(K:K,$Q2)</f>
        <v>30</v>
      </c>
      <c r="T2">
        <f>COUNTIF(L:L,$Q2)</f>
        <v>32</v>
      </c>
    </row>
    <row r="3" spans="1:20" x14ac:dyDescent="0.25">
      <c r="A3" s="7">
        <v>3</v>
      </c>
      <c r="B3" s="7">
        <v>3</v>
      </c>
      <c r="C3" s="7">
        <v>1</v>
      </c>
      <c r="D3" s="7" t="s">
        <v>34</v>
      </c>
      <c r="E3" s="7" t="s">
        <v>34</v>
      </c>
      <c r="F3" s="7" t="s">
        <v>34</v>
      </c>
      <c r="G3" s="7" t="s">
        <v>34</v>
      </c>
      <c r="H3" s="7" t="s">
        <v>34</v>
      </c>
      <c r="I3" s="7" t="s">
        <v>34</v>
      </c>
      <c r="J3" s="7" t="s">
        <v>26</v>
      </c>
      <c r="K3" s="7" t="s">
        <v>26</v>
      </c>
      <c r="L3" s="7" t="s">
        <v>26</v>
      </c>
      <c r="M3" s="7" t="s">
        <v>41</v>
      </c>
      <c r="P3" t="s">
        <v>14</v>
      </c>
      <c r="Q3" t="s">
        <v>14</v>
      </c>
      <c r="R3">
        <f>COUNTIF(J:J,$Q3)</f>
        <v>7</v>
      </c>
      <c r="S3">
        <f>COUNTIF(K:K,$Q3)</f>
        <v>8</v>
      </c>
      <c r="T3">
        <f>COUNTIF(L:L,$Q3)</f>
        <v>9</v>
      </c>
    </row>
    <row r="4" spans="1:20" x14ac:dyDescent="0.25">
      <c r="A4" s="7">
        <v>16</v>
      </c>
      <c r="B4" s="7">
        <v>16</v>
      </c>
      <c r="C4" s="7">
        <v>1</v>
      </c>
      <c r="D4" s="7" t="s">
        <v>34</v>
      </c>
      <c r="E4" s="7" t="s">
        <v>34</v>
      </c>
      <c r="F4" s="7" t="s">
        <v>34</v>
      </c>
      <c r="G4" s="7" t="s">
        <v>34</v>
      </c>
      <c r="H4" s="7" t="s">
        <v>34</v>
      </c>
      <c r="I4" s="7" t="s">
        <v>34</v>
      </c>
      <c r="J4" s="7" t="s">
        <v>15</v>
      </c>
      <c r="K4" s="7" t="s">
        <v>15</v>
      </c>
      <c r="L4" s="7" t="s">
        <v>15</v>
      </c>
      <c r="M4" s="7"/>
      <c r="P4" t="s">
        <v>15</v>
      </c>
      <c r="Q4" t="s">
        <v>15</v>
      </c>
      <c r="R4">
        <f>COUNTIF(J:J,$Q4)</f>
        <v>12</v>
      </c>
      <c r="S4">
        <f>COUNTIF(K:K,$Q4)</f>
        <v>11</v>
      </c>
      <c r="T4">
        <f>COUNTIF(L:L,$Q4)</f>
        <v>13</v>
      </c>
    </row>
    <row r="5" spans="1:20" x14ac:dyDescent="0.25">
      <c r="A5" s="7">
        <v>18</v>
      </c>
      <c r="B5" s="7">
        <v>18</v>
      </c>
      <c r="C5" s="7">
        <v>1</v>
      </c>
      <c r="D5" s="7" t="s">
        <v>34</v>
      </c>
      <c r="E5" s="7" t="s">
        <v>34</v>
      </c>
      <c r="F5" s="7" t="s">
        <v>34</v>
      </c>
      <c r="G5" s="7" t="s">
        <v>34</v>
      </c>
      <c r="H5" s="7" t="s">
        <v>34</v>
      </c>
      <c r="I5" s="7" t="s">
        <v>34</v>
      </c>
      <c r="J5" s="7" t="s">
        <v>15</v>
      </c>
      <c r="K5" s="7" t="s">
        <v>15</v>
      </c>
      <c r="L5" s="7" t="s">
        <v>15</v>
      </c>
      <c r="M5" s="7"/>
      <c r="P5" t="s">
        <v>22</v>
      </c>
      <c r="Q5" t="s">
        <v>25</v>
      </c>
      <c r="R5">
        <f>COUNTIF(J:J,$Q5)</f>
        <v>14</v>
      </c>
      <c r="S5">
        <f>COUNTIF(K:K,$Q5)</f>
        <v>8</v>
      </c>
      <c r="T5">
        <f>COUNTIF(L:L,$Q5)</f>
        <v>14</v>
      </c>
    </row>
    <row r="6" spans="1:20" ht="15" customHeight="1" x14ac:dyDescent="0.25">
      <c r="A6" s="7">
        <v>20</v>
      </c>
      <c r="B6" s="7">
        <v>20</v>
      </c>
      <c r="C6" s="7">
        <v>1</v>
      </c>
      <c r="D6" s="7" t="s">
        <v>34</v>
      </c>
      <c r="E6" s="7" t="s">
        <v>34</v>
      </c>
      <c r="F6" s="7" t="s">
        <v>34</v>
      </c>
      <c r="G6" s="7" t="s">
        <v>34</v>
      </c>
      <c r="H6" s="7" t="s">
        <v>34</v>
      </c>
      <c r="I6" s="7" t="s">
        <v>34</v>
      </c>
      <c r="J6" s="7" t="s">
        <v>13</v>
      </c>
      <c r="K6" s="7" t="s">
        <v>13</v>
      </c>
      <c r="L6" s="7" t="s">
        <v>13</v>
      </c>
      <c r="M6" s="7"/>
      <c r="P6" t="s">
        <v>21</v>
      </c>
      <c r="Q6" t="s">
        <v>26</v>
      </c>
      <c r="R6">
        <f>COUNTIF(J:J,$Q6)</f>
        <v>13</v>
      </c>
      <c r="S6">
        <f>COUNTIF(K:K,$Q6)</f>
        <v>89</v>
      </c>
      <c r="T6">
        <f>COUNTIF(L:L,$Q6)</f>
        <v>60</v>
      </c>
    </row>
    <row r="7" spans="1:20" x14ac:dyDescent="0.25">
      <c r="A7" s="7">
        <v>28</v>
      </c>
      <c r="B7" s="7">
        <v>28</v>
      </c>
      <c r="C7" s="7">
        <v>1</v>
      </c>
      <c r="D7" s="7" t="s">
        <v>34</v>
      </c>
      <c r="E7" s="7" t="s">
        <v>34</v>
      </c>
      <c r="F7" s="7" t="s">
        <v>34</v>
      </c>
      <c r="G7" s="7" t="s">
        <v>34</v>
      </c>
      <c r="H7" s="7" t="s">
        <v>34</v>
      </c>
      <c r="I7" s="7" t="s">
        <v>34</v>
      </c>
      <c r="J7" s="7" t="s">
        <v>15</v>
      </c>
      <c r="K7" s="7" t="s">
        <v>15</v>
      </c>
      <c r="L7" s="7" t="s">
        <v>15</v>
      </c>
      <c r="M7" s="7"/>
      <c r="P7" t="s">
        <v>23</v>
      </c>
      <c r="Q7" t="s">
        <v>27</v>
      </c>
      <c r="R7">
        <f>COUNTIF(J:J,$Q7)</f>
        <v>62</v>
      </c>
      <c r="S7">
        <f>COUNTIF(K:K,$Q7)</f>
        <v>9</v>
      </c>
      <c r="T7">
        <f>COUNTIF(L:L,$Q7)</f>
        <v>9</v>
      </c>
    </row>
    <row r="8" spans="1:20" ht="15" customHeight="1" x14ac:dyDescent="0.25">
      <c r="A8" s="7">
        <v>34</v>
      </c>
      <c r="B8" s="7">
        <v>34</v>
      </c>
      <c r="C8" s="7">
        <v>1</v>
      </c>
      <c r="D8" s="7" t="s">
        <v>34</v>
      </c>
      <c r="E8" s="7" t="s">
        <v>34</v>
      </c>
      <c r="F8" s="7" t="s">
        <v>34</v>
      </c>
      <c r="G8" s="7" t="s">
        <v>34</v>
      </c>
      <c r="H8" s="7" t="s">
        <v>34</v>
      </c>
      <c r="I8" s="7" t="s">
        <v>34</v>
      </c>
      <c r="J8" s="7" t="s">
        <v>15</v>
      </c>
      <c r="K8" s="7" t="s">
        <v>26</v>
      </c>
      <c r="L8" s="7" t="s">
        <v>15</v>
      </c>
      <c r="M8" s="7" t="s">
        <v>28</v>
      </c>
      <c r="P8" s="5" t="s">
        <v>16</v>
      </c>
      <c r="Q8" s="5"/>
      <c r="R8" s="6">
        <f>SUM(R2:R7)</f>
        <v>137</v>
      </c>
      <c r="S8" s="6">
        <f>SUM(S2:S7)</f>
        <v>155</v>
      </c>
      <c r="T8" s="6">
        <f>SUM(T2:T7)</f>
        <v>137</v>
      </c>
    </row>
    <row r="9" spans="1:20" x14ac:dyDescent="0.25">
      <c r="A9" s="7">
        <v>43</v>
      </c>
      <c r="B9" s="7">
        <v>43</v>
      </c>
      <c r="C9" s="7">
        <v>1</v>
      </c>
      <c r="D9" s="7" t="s">
        <v>34</v>
      </c>
      <c r="E9" s="7" t="s">
        <v>34</v>
      </c>
      <c r="F9" s="7" t="s">
        <v>34</v>
      </c>
      <c r="G9" s="7" t="s">
        <v>34</v>
      </c>
      <c r="H9" s="7" t="s">
        <v>34</v>
      </c>
      <c r="I9" s="7" t="s">
        <v>34</v>
      </c>
      <c r="J9" s="7" t="s">
        <v>15</v>
      </c>
      <c r="K9" s="7" t="s">
        <v>26</v>
      </c>
      <c r="L9" s="7" t="s">
        <v>15</v>
      </c>
      <c r="M9" s="7" t="s">
        <v>28</v>
      </c>
      <c r="P9" s="5"/>
      <c r="Q9" s="5"/>
      <c r="R9" s="6"/>
      <c r="S9" s="6"/>
      <c r="T9" s="6"/>
    </row>
    <row r="10" spans="1:20" x14ac:dyDescent="0.25">
      <c r="A10" s="7">
        <v>44</v>
      </c>
      <c r="B10" s="7">
        <v>44</v>
      </c>
      <c r="C10" s="7">
        <v>1</v>
      </c>
      <c r="D10" s="7" t="s">
        <v>34</v>
      </c>
      <c r="E10" s="7" t="s">
        <v>34</v>
      </c>
      <c r="F10" s="7" t="s">
        <v>34</v>
      </c>
      <c r="G10" s="7" t="s">
        <v>34</v>
      </c>
      <c r="H10" s="7" t="s">
        <v>34</v>
      </c>
      <c r="I10" s="7" t="s">
        <v>34</v>
      </c>
      <c r="J10" s="7" t="s">
        <v>14</v>
      </c>
      <c r="K10" s="7" t="s">
        <v>14</v>
      </c>
      <c r="L10" s="7" t="s">
        <v>14</v>
      </c>
      <c r="M10" s="7" t="s">
        <v>28</v>
      </c>
    </row>
    <row r="11" spans="1:20" x14ac:dyDescent="0.25">
      <c r="A11" s="7">
        <v>48</v>
      </c>
      <c r="B11" s="7">
        <v>48</v>
      </c>
      <c r="C11" s="7">
        <v>1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27</v>
      </c>
      <c r="K11" s="7" t="s">
        <v>26</v>
      </c>
      <c r="L11" s="7" t="s">
        <v>26</v>
      </c>
      <c r="M11" s="7" t="s">
        <v>28</v>
      </c>
    </row>
    <row r="12" spans="1:20" x14ac:dyDescent="0.25">
      <c r="A12" s="7">
        <v>51</v>
      </c>
      <c r="B12" s="7">
        <v>51</v>
      </c>
      <c r="C12" s="7">
        <v>1</v>
      </c>
      <c r="D12" s="7" t="s">
        <v>34</v>
      </c>
      <c r="E12" s="7" t="s">
        <v>34</v>
      </c>
      <c r="F12" s="7" t="s">
        <v>34</v>
      </c>
      <c r="G12" s="7" t="s">
        <v>34</v>
      </c>
      <c r="H12" s="7" t="s">
        <v>34</v>
      </c>
      <c r="I12" s="7" t="s">
        <v>34</v>
      </c>
      <c r="J12" s="7" t="s">
        <v>27</v>
      </c>
      <c r="K12" s="7" t="s">
        <v>26</v>
      </c>
      <c r="L12" s="7" t="s">
        <v>26</v>
      </c>
      <c r="M12" s="7" t="s">
        <v>28</v>
      </c>
    </row>
    <row r="13" spans="1:20" x14ac:dyDescent="0.25">
      <c r="A13" s="7">
        <v>55</v>
      </c>
      <c r="B13" s="7">
        <v>55</v>
      </c>
      <c r="C13" s="7">
        <v>1</v>
      </c>
      <c r="D13" s="7" t="s">
        <v>34</v>
      </c>
      <c r="E13" s="7" t="s">
        <v>34</v>
      </c>
      <c r="F13" s="7" t="s">
        <v>34</v>
      </c>
      <c r="G13" s="7" t="s">
        <v>34</v>
      </c>
      <c r="H13" s="7" t="s">
        <v>34</v>
      </c>
      <c r="I13" s="7" t="s">
        <v>34</v>
      </c>
      <c r="J13" s="7" t="s">
        <v>27</v>
      </c>
      <c r="K13" s="7" t="s">
        <v>26</v>
      </c>
      <c r="L13" s="7" t="s">
        <v>26</v>
      </c>
      <c r="M13" s="7" t="s">
        <v>28</v>
      </c>
    </row>
    <row r="14" spans="1:20" x14ac:dyDescent="0.25">
      <c r="A14" s="7">
        <v>57</v>
      </c>
      <c r="B14" s="7">
        <v>57</v>
      </c>
      <c r="C14" s="7">
        <v>1</v>
      </c>
      <c r="D14" s="7" t="s">
        <v>34</v>
      </c>
      <c r="E14" s="7" t="s">
        <v>34</v>
      </c>
      <c r="F14" s="7" t="s">
        <v>34</v>
      </c>
      <c r="G14" s="7" t="s">
        <v>34</v>
      </c>
      <c r="H14" s="7" t="s">
        <v>34</v>
      </c>
      <c r="I14" s="7" t="s">
        <v>34</v>
      </c>
      <c r="J14" s="7" t="s">
        <v>25</v>
      </c>
      <c r="K14" s="7" t="s">
        <v>25</v>
      </c>
      <c r="L14" s="7" t="s">
        <v>25</v>
      </c>
      <c r="M14" s="7" t="s">
        <v>42</v>
      </c>
    </row>
    <row r="15" spans="1:20" x14ac:dyDescent="0.25">
      <c r="A15" s="7">
        <v>58</v>
      </c>
      <c r="B15" s="7">
        <v>58</v>
      </c>
      <c r="C15" s="7">
        <v>1</v>
      </c>
      <c r="D15" s="7" t="s">
        <v>34</v>
      </c>
      <c r="E15" s="7" t="s">
        <v>34</v>
      </c>
      <c r="F15" s="7" t="s">
        <v>34</v>
      </c>
      <c r="G15" s="7" t="s">
        <v>34</v>
      </c>
      <c r="H15" s="7" t="s">
        <v>34</v>
      </c>
      <c r="I15" s="7" t="s">
        <v>34</v>
      </c>
      <c r="J15" s="7" t="s">
        <v>27</v>
      </c>
      <c r="K15" s="7" t="s">
        <v>27</v>
      </c>
      <c r="L15" s="7" t="s">
        <v>27</v>
      </c>
      <c r="M15" s="7"/>
    </row>
    <row r="16" spans="1:20" x14ac:dyDescent="0.25">
      <c r="A16" s="7">
        <v>68</v>
      </c>
      <c r="B16" s="7">
        <v>68</v>
      </c>
      <c r="C16" s="7">
        <v>1</v>
      </c>
      <c r="D16" s="7" t="s">
        <v>34</v>
      </c>
      <c r="E16" s="7" t="s">
        <v>34</v>
      </c>
      <c r="F16" s="7" t="s">
        <v>34</v>
      </c>
      <c r="G16" s="7" t="s">
        <v>34</v>
      </c>
      <c r="H16" s="7" t="s">
        <v>34</v>
      </c>
      <c r="I16" s="7" t="s">
        <v>34</v>
      </c>
      <c r="J16" s="7" t="s">
        <v>27</v>
      </c>
      <c r="K16" s="7" t="s">
        <v>26</v>
      </c>
      <c r="L16" s="7" t="s">
        <v>26</v>
      </c>
      <c r="M16" s="7" t="s">
        <v>28</v>
      </c>
    </row>
    <row r="17" spans="1:13" x14ac:dyDescent="0.25">
      <c r="A17" s="7">
        <v>69</v>
      </c>
      <c r="B17" s="7">
        <v>69</v>
      </c>
      <c r="C17" s="7">
        <v>1</v>
      </c>
      <c r="D17" s="7" t="s">
        <v>34</v>
      </c>
      <c r="E17" s="7" t="s">
        <v>34</v>
      </c>
      <c r="F17" s="7" t="s">
        <v>34</v>
      </c>
      <c r="G17" s="7" t="s">
        <v>34</v>
      </c>
      <c r="H17" s="7" t="s">
        <v>34</v>
      </c>
      <c r="I17" s="7" t="s">
        <v>34</v>
      </c>
      <c r="J17" s="7" t="s">
        <v>27</v>
      </c>
      <c r="K17" s="7" t="s">
        <v>26</v>
      </c>
      <c r="L17" s="7" t="s">
        <v>26</v>
      </c>
      <c r="M17" s="7" t="s">
        <v>28</v>
      </c>
    </row>
    <row r="18" spans="1:13" x14ac:dyDescent="0.25">
      <c r="A18" s="7">
        <v>70</v>
      </c>
      <c r="B18" s="7">
        <v>70</v>
      </c>
      <c r="C18" s="7">
        <v>1</v>
      </c>
      <c r="D18" s="7" t="s">
        <v>34</v>
      </c>
      <c r="E18" s="7" t="s">
        <v>34</v>
      </c>
      <c r="F18" s="7" t="s">
        <v>34</v>
      </c>
      <c r="G18" s="7" t="s">
        <v>34</v>
      </c>
      <c r="H18" s="7" t="s">
        <v>34</v>
      </c>
      <c r="I18" s="7" t="s">
        <v>34</v>
      </c>
      <c r="J18" s="7" t="s">
        <v>27</v>
      </c>
      <c r="K18" s="7" t="s">
        <v>26</v>
      </c>
      <c r="L18" s="7" t="s">
        <v>26</v>
      </c>
      <c r="M18" s="7" t="s">
        <v>28</v>
      </c>
    </row>
    <row r="19" spans="1:13" x14ac:dyDescent="0.25">
      <c r="A19" s="7">
        <v>71</v>
      </c>
      <c r="B19" s="7">
        <v>71</v>
      </c>
      <c r="C19" s="7">
        <v>1</v>
      </c>
      <c r="D19" s="7" t="s">
        <v>34</v>
      </c>
      <c r="E19" s="7" t="s">
        <v>34</v>
      </c>
      <c r="F19" s="7" t="s">
        <v>34</v>
      </c>
      <c r="G19" s="7" t="s">
        <v>34</v>
      </c>
      <c r="H19" s="7" t="s">
        <v>34</v>
      </c>
      <c r="I19" s="7" t="s">
        <v>34</v>
      </c>
      <c r="J19" s="7" t="s">
        <v>14</v>
      </c>
      <c r="K19" s="7" t="s">
        <v>14</v>
      </c>
      <c r="L19" s="7" t="s">
        <v>14</v>
      </c>
      <c r="M19" s="7" t="s">
        <v>43</v>
      </c>
    </row>
    <row r="20" spans="1:13" x14ac:dyDescent="0.25">
      <c r="A20" s="7">
        <v>107</v>
      </c>
      <c r="B20" s="7">
        <v>107</v>
      </c>
      <c r="C20" s="7">
        <v>1</v>
      </c>
      <c r="D20" s="7" t="s">
        <v>34</v>
      </c>
      <c r="E20" s="7" t="s">
        <v>34</v>
      </c>
      <c r="F20" s="7" t="s">
        <v>34</v>
      </c>
      <c r="G20" s="7" t="s">
        <v>34</v>
      </c>
      <c r="H20" s="7" t="s">
        <v>34</v>
      </c>
      <c r="I20" s="7" t="s">
        <v>34</v>
      </c>
      <c r="J20" s="7" t="s">
        <v>27</v>
      </c>
      <c r="K20" s="7" t="s">
        <v>26</v>
      </c>
      <c r="L20" s="7" t="s">
        <v>26</v>
      </c>
      <c r="M20" s="7"/>
    </row>
    <row r="21" spans="1:13" x14ac:dyDescent="0.25">
      <c r="A21" s="7">
        <v>108</v>
      </c>
      <c r="B21" s="7">
        <v>108</v>
      </c>
      <c r="C21" s="7">
        <v>1</v>
      </c>
      <c r="D21" s="7" t="s">
        <v>34</v>
      </c>
      <c r="E21" s="7" t="s">
        <v>34</v>
      </c>
      <c r="F21" s="7" t="s">
        <v>34</v>
      </c>
      <c r="G21" s="7" t="s">
        <v>34</v>
      </c>
      <c r="H21" s="7" t="s">
        <v>34</v>
      </c>
      <c r="I21" s="7" t="s">
        <v>34</v>
      </c>
      <c r="J21" s="7" t="s">
        <v>27</v>
      </c>
      <c r="K21" s="7" t="s">
        <v>26</v>
      </c>
      <c r="L21" s="7" t="s">
        <v>26</v>
      </c>
      <c r="M21" s="7" t="s">
        <v>28</v>
      </c>
    </row>
    <row r="22" spans="1:13" x14ac:dyDescent="0.25">
      <c r="A22" s="7">
        <v>110</v>
      </c>
      <c r="B22" s="7">
        <v>110</v>
      </c>
      <c r="C22" s="7">
        <v>1</v>
      </c>
      <c r="D22" s="7" t="s">
        <v>34</v>
      </c>
      <c r="E22" s="7" t="s">
        <v>34</v>
      </c>
      <c r="F22" s="7" t="s">
        <v>34</v>
      </c>
      <c r="G22" s="7" t="s">
        <v>34</v>
      </c>
      <c r="H22" s="7" t="s">
        <v>34</v>
      </c>
      <c r="I22" s="7" t="s">
        <v>34</v>
      </c>
      <c r="J22" s="7" t="s">
        <v>27</v>
      </c>
      <c r="K22" s="7" t="s">
        <v>26</v>
      </c>
      <c r="L22" s="7" t="s">
        <v>26</v>
      </c>
      <c r="M22" s="7" t="s">
        <v>28</v>
      </c>
    </row>
    <row r="23" spans="1:13" x14ac:dyDescent="0.25">
      <c r="A23" s="7">
        <v>115</v>
      </c>
      <c r="B23" s="7">
        <v>115</v>
      </c>
      <c r="C23" s="7">
        <v>1</v>
      </c>
      <c r="D23" s="7" t="s">
        <v>34</v>
      </c>
      <c r="E23" s="7" t="s">
        <v>34</v>
      </c>
      <c r="F23" s="7" t="s">
        <v>34</v>
      </c>
      <c r="G23" s="7" t="s">
        <v>34</v>
      </c>
      <c r="H23" s="7" t="s">
        <v>34</v>
      </c>
      <c r="I23" s="7" t="s">
        <v>34</v>
      </c>
      <c r="J23" s="7" t="s">
        <v>27</v>
      </c>
      <c r="K23" s="7" t="s">
        <v>26</v>
      </c>
      <c r="L23" s="7" t="s">
        <v>26</v>
      </c>
      <c r="M23" s="7" t="s">
        <v>28</v>
      </c>
    </row>
    <row r="24" spans="1:13" x14ac:dyDescent="0.25">
      <c r="A24" s="7">
        <v>116</v>
      </c>
      <c r="B24" s="7">
        <v>116</v>
      </c>
      <c r="C24" s="7">
        <v>1</v>
      </c>
      <c r="D24" s="7" t="s">
        <v>34</v>
      </c>
      <c r="E24" s="7" t="s">
        <v>34</v>
      </c>
      <c r="F24" s="7" t="s">
        <v>34</v>
      </c>
      <c r="G24" s="7" t="s">
        <v>34</v>
      </c>
      <c r="H24" s="7" t="s">
        <v>34</v>
      </c>
      <c r="I24" s="7" t="s">
        <v>34</v>
      </c>
      <c r="J24" s="7" t="s">
        <v>27</v>
      </c>
      <c r="K24" s="7" t="s">
        <v>26</v>
      </c>
      <c r="L24" s="7" t="s">
        <v>26</v>
      </c>
      <c r="M24" s="7" t="s">
        <v>28</v>
      </c>
    </row>
    <row r="25" spans="1:13" x14ac:dyDescent="0.25">
      <c r="A25" s="7">
        <v>117</v>
      </c>
      <c r="B25" s="7">
        <v>117</v>
      </c>
      <c r="C25" s="7">
        <v>1</v>
      </c>
      <c r="D25" s="7" t="s">
        <v>34</v>
      </c>
      <c r="E25" s="7" t="s">
        <v>34</v>
      </c>
      <c r="F25" s="7" t="s">
        <v>34</v>
      </c>
      <c r="G25" s="7" t="s">
        <v>34</v>
      </c>
      <c r="H25" s="7" t="s">
        <v>34</v>
      </c>
      <c r="I25" s="7" t="s">
        <v>34</v>
      </c>
      <c r="J25" s="7" t="s">
        <v>27</v>
      </c>
      <c r="K25" s="7" t="s">
        <v>26</v>
      </c>
      <c r="L25" s="7" t="s">
        <v>26</v>
      </c>
      <c r="M25" s="7" t="s">
        <v>28</v>
      </c>
    </row>
    <row r="26" spans="1:13" x14ac:dyDescent="0.25">
      <c r="A26" s="7">
        <v>118</v>
      </c>
      <c r="B26" s="7">
        <v>118</v>
      </c>
      <c r="C26" s="7">
        <v>1</v>
      </c>
      <c r="D26" s="7" t="s">
        <v>34</v>
      </c>
      <c r="E26" s="7" t="s">
        <v>34</v>
      </c>
      <c r="F26" s="7" t="s">
        <v>34</v>
      </c>
      <c r="G26" s="7" t="s">
        <v>34</v>
      </c>
      <c r="H26" s="7" t="s">
        <v>34</v>
      </c>
      <c r="I26" s="7" t="s">
        <v>34</v>
      </c>
      <c r="J26" s="7" t="s">
        <v>27</v>
      </c>
      <c r="K26" s="7" t="s">
        <v>26</v>
      </c>
      <c r="L26" s="7" t="s">
        <v>26</v>
      </c>
      <c r="M26" s="7" t="s">
        <v>28</v>
      </c>
    </row>
    <row r="27" spans="1:13" x14ac:dyDescent="0.25">
      <c r="A27" s="7">
        <v>121</v>
      </c>
      <c r="B27" s="7">
        <v>121</v>
      </c>
      <c r="C27" s="7">
        <v>1</v>
      </c>
      <c r="D27" s="7" t="s">
        <v>34</v>
      </c>
      <c r="E27" s="7" t="s">
        <v>34</v>
      </c>
      <c r="F27" s="7" t="s">
        <v>34</v>
      </c>
      <c r="G27" s="7" t="s">
        <v>34</v>
      </c>
      <c r="H27" s="7" t="s">
        <v>34</v>
      </c>
      <c r="I27" s="7" t="s">
        <v>34</v>
      </c>
      <c r="J27" s="7" t="s">
        <v>27</v>
      </c>
      <c r="K27" s="7" t="s">
        <v>13</v>
      </c>
      <c r="L27" s="7" t="s">
        <v>13</v>
      </c>
      <c r="M27" s="7"/>
    </row>
    <row r="28" spans="1:13" x14ac:dyDescent="0.25">
      <c r="A28" s="7">
        <v>122</v>
      </c>
      <c r="B28" s="7">
        <v>122</v>
      </c>
      <c r="C28" s="7">
        <v>1</v>
      </c>
      <c r="D28" s="7" t="s">
        <v>34</v>
      </c>
      <c r="E28" s="7" t="s">
        <v>34</v>
      </c>
      <c r="F28" s="7" t="s">
        <v>34</v>
      </c>
      <c r="G28" s="7" t="s">
        <v>34</v>
      </c>
      <c r="H28" s="7" t="s">
        <v>34</v>
      </c>
      <c r="I28" s="7" t="s">
        <v>34</v>
      </c>
      <c r="J28" s="7" t="s">
        <v>13</v>
      </c>
      <c r="K28" s="7" t="s">
        <v>13</v>
      </c>
      <c r="L28" s="7" t="s">
        <v>13</v>
      </c>
      <c r="M28" s="7" t="s">
        <v>28</v>
      </c>
    </row>
    <row r="29" spans="1:13" x14ac:dyDescent="0.25">
      <c r="A29" s="7">
        <v>128</v>
      </c>
      <c r="B29" s="7">
        <v>128</v>
      </c>
      <c r="C29" s="7">
        <v>1</v>
      </c>
      <c r="D29" s="7" t="s">
        <v>34</v>
      </c>
      <c r="E29" s="7" t="s">
        <v>34</v>
      </c>
      <c r="F29" s="7" t="s">
        <v>34</v>
      </c>
      <c r="G29" s="7" t="s">
        <v>34</v>
      </c>
      <c r="H29" s="7" t="s">
        <v>34</v>
      </c>
      <c r="I29" s="7" t="s">
        <v>34</v>
      </c>
      <c r="J29" s="7" t="s">
        <v>27</v>
      </c>
      <c r="K29" s="7" t="s">
        <v>26</v>
      </c>
      <c r="L29" s="7" t="s">
        <v>26</v>
      </c>
      <c r="M29" s="7" t="s">
        <v>28</v>
      </c>
    </row>
    <row r="30" spans="1:13" x14ac:dyDescent="0.25">
      <c r="A30" s="7">
        <v>132</v>
      </c>
      <c r="B30" s="7">
        <v>3</v>
      </c>
      <c r="C30" s="7">
        <v>2</v>
      </c>
      <c r="D30" s="7">
        <v>11566.92</v>
      </c>
      <c r="E30" s="7">
        <v>1761.894</v>
      </c>
      <c r="F30" s="7">
        <v>2.6143450000000001</v>
      </c>
      <c r="G30" s="7">
        <v>4.5290020000000002</v>
      </c>
      <c r="H30" s="7">
        <v>9.9116309999999999</v>
      </c>
      <c r="I30" s="7">
        <v>0.57917359999999996</v>
      </c>
      <c r="J30" s="7" t="s">
        <v>13</v>
      </c>
      <c r="K30" s="7" t="s">
        <v>13</v>
      </c>
      <c r="L30" s="7" t="s">
        <v>13</v>
      </c>
      <c r="M30" s="7"/>
    </row>
    <row r="31" spans="1:13" x14ac:dyDescent="0.25">
      <c r="A31" s="7">
        <v>140</v>
      </c>
      <c r="B31" s="7">
        <v>11</v>
      </c>
      <c r="C31" s="7">
        <v>2</v>
      </c>
      <c r="D31" s="7">
        <v>11520.03</v>
      </c>
      <c r="E31" s="7">
        <v>1774.325</v>
      </c>
      <c r="F31" s="7">
        <v>4.1502249999999998</v>
      </c>
      <c r="G31" s="7">
        <v>13.756320000000001</v>
      </c>
      <c r="H31" s="7">
        <v>14.569140000000001</v>
      </c>
      <c r="I31" s="7">
        <v>0.81419969999999997</v>
      </c>
      <c r="J31" s="7" t="s">
        <v>13</v>
      </c>
      <c r="K31" s="7" t="s">
        <v>13</v>
      </c>
      <c r="L31" s="7" t="s">
        <v>13</v>
      </c>
      <c r="M31" s="7" t="s">
        <v>28</v>
      </c>
    </row>
    <row r="32" spans="1:13" x14ac:dyDescent="0.25">
      <c r="A32" s="7">
        <v>148</v>
      </c>
      <c r="B32" s="7">
        <v>19</v>
      </c>
      <c r="C32" s="7">
        <v>2</v>
      </c>
      <c r="D32" s="7">
        <v>11539.22</v>
      </c>
      <c r="E32" s="7">
        <v>1795.2270000000001</v>
      </c>
      <c r="F32" s="7">
        <v>1.2237629999999999</v>
      </c>
      <c r="G32" s="7">
        <v>1.1597630000000001</v>
      </c>
      <c r="H32" s="7">
        <v>4.1055320000000002</v>
      </c>
      <c r="I32" s="7">
        <v>0.86442419999999998</v>
      </c>
      <c r="J32" s="7" t="s">
        <v>13</v>
      </c>
      <c r="K32" s="7" t="s">
        <v>13</v>
      </c>
      <c r="L32" s="7" t="s">
        <v>13</v>
      </c>
      <c r="M32" s="7"/>
    </row>
    <row r="33" spans="1:13" x14ac:dyDescent="0.25">
      <c r="A33" s="7">
        <v>149</v>
      </c>
      <c r="B33" s="7">
        <v>20</v>
      </c>
      <c r="C33" s="7">
        <v>2</v>
      </c>
      <c r="D33" s="7">
        <v>11491.41</v>
      </c>
      <c r="E33" s="7">
        <v>1799.056</v>
      </c>
      <c r="F33" s="7">
        <v>3.2034889999999998</v>
      </c>
      <c r="G33" s="7">
        <v>7.8897760000000003</v>
      </c>
      <c r="H33" s="7">
        <v>10.61603</v>
      </c>
      <c r="I33" s="7">
        <v>0.87950229999999996</v>
      </c>
      <c r="J33" s="7" t="s">
        <v>13</v>
      </c>
      <c r="K33" s="7" t="s">
        <v>13</v>
      </c>
      <c r="L33" s="7" t="s">
        <v>13</v>
      </c>
      <c r="M33" s="7"/>
    </row>
    <row r="34" spans="1:13" x14ac:dyDescent="0.25">
      <c r="A34" s="7">
        <v>153</v>
      </c>
      <c r="B34" s="7">
        <v>24</v>
      </c>
      <c r="C34" s="7">
        <v>2</v>
      </c>
      <c r="D34" s="7">
        <v>11540.71</v>
      </c>
      <c r="E34" s="7">
        <v>1800.952</v>
      </c>
      <c r="F34" s="7">
        <v>3.82782</v>
      </c>
      <c r="G34" s="7">
        <v>11.47912</v>
      </c>
      <c r="H34" s="7">
        <v>12.86857</v>
      </c>
      <c r="I34" s="7">
        <v>0.87085199999999996</v>
      </c>
      <c r="J34" s="7" t="s">
        <v>13</v>
      </c>
      <c r="K34" s="7" t="s">
        <v>13</v>
      </c>
      <c r="L34" s="7" t="s">
        <v>13</v>
      </c>
      <c r="M34" s="7"/>
    </row>
    <row r="35" spans="1:13" x14ac:dyDescent="0.25">
      <c r="A35" s="7">
        <v>167</v>
      </c>
      <c r="B35" s="7">
        <v>38</v>
      </c>
      <c r="C35" s="7">
        <v>2</v>
      </c>
      <c r="D35" s="7">
        <v>11481.78</v>
      </c>
      <c r="E35" s="7">
        <v>1823.145</v>
      </c>
      <c r="F35" s="7">
        <v>3.0144639999999998</v>
      </c>
      <c r="G35" s="7">
        <v>7.1532840000000002</v>
      </c>
      <c r="H35" s="7">
        <v>10.127190000000001</v>
      </c>
      <c r="I35" s="7">
        <v>0.87624190000000002</v>
      </c>
      <c r="J35" s="7" t="s">
        <v>27</v>
      </c>
      <c r="K35" s="7" t="s">
        <v>26</v>
      </c>
      <c r="L35" s="7" t="s">
        <v>26</v>
      </c>
      <c r="M35" s="7" t="s">
        <v>28</v>
      </c>
    </row>
    <row r="36" spans="1:13" x14ac:dyDescent="0.25">
      <c r="A36" s="7">
        <v>172</v>
      </c>
      <c r="B36" s="7">
        <v>43</v>
      </c>
      <c r="C36" s="7">
        <v>2</v>
      </c>
      <c r="D36" s="7">
        <v>11479.68</v>
      </c>
      <c r="E36" s="7">
        <v>1832.941</v>
      </c>
      <c r="F36" s="7">
        <v>1.514419</v>
      </c>
      <c r="G36" s="7">
        <v>1.7184809999999999</v>
      </c>
      <c r="H36" s="7">
        <v>4.9939210000000003</v>
      </c>
      <c r="I36" s="7">
        <v>0.86568100000000003</v>
      </c>
      <c r="J36" s="7" t="s">
        <v>13</v>
      </c>
      <c r="K36" s="7" t="s">
        <v>26</v>
      </c>
      <c r="L36" s="7" t="s">
        <v>13</v>
      </c>
      <c r="M36" s="7"/>
    </row>
    <row r="37" spans="1:13" x14ac:dyDescent="0.25">
      <c r="A37" s="7">
        <v>174</v>
      </c>
      <c r="B37" s="7">
        <v>45</v>
      </c>
      <c r="C37" s="7">
        <v>2</v>
      </c>
      <c r="D37" s="7">
        <v>11506.78</v>
      </c>
      <c r="E37" s="7">
        <v>1834.6089999999999</v>
      </c>
      <c r="F37" s="7">
        <v>3.4685700000000002</v>
      </c>
      <c r="G37" s="7">
        <v>9.6336539999999999</v>
      </c>
      <c r="H37" s="7">
        <v>11.764620000000001</v>
      </c>
      <c r="I37" s="7">
        <v>0.87444319999999998</v>
      </c>
      <c r="J37" s="7" t="s">
        <v>27</v>
      </c>
      <c r="K37" s="7" t="s">
        <v>14</v>
      </c>
      <c r="L37" s="7" t="s">
        <v>14</v>
      </c>
      <c r="M37" s="7" t="s">
        <v>28</v>
      </c>
    </row>
    <row r="38" spans="1:13" x14ac:dyDescent="0.25">
      <c r="A38" s="7">
        <v>243</v>
      </c>
      <c r="B38" s="7">
        <v>48</v>
      </c>
      <c r="C38" s="7">
        <v>3</v>
      </c>
      <c r="D38" s="7">
        <v>11418.06</v>
      </c>
      <c r="E38" s="7">
        <v>2625.0639999999999</v>
      </c>
      <c r="F38" s="7">
        <v>1.8353930000000001</v>
      </c>
      <c r="G38" s="7">
        <v>2.6412119999999999</v>
      </c>
      <c r="H38" s="7">
        <v>6.2187250000000001</v>
      </c>
      <c r="I38" s="7">
        <v>0.85801919999999998</v>
      </c>
      <c r="J38" s="7" t="s">
        <v>27</v>
      </c>
      <c r="K38" s="7" t="s">
        <v>27</v>
      </c>
      <c r="L38" s="7" t="s">
        <v>27</v>
      </c>
      <c r="M38" s="7" t="s">
        <v>28</v>
      </c>
    </row>
    <row r="39" spans="1:13" x14ac:dyDescent="0.25">
      <c r="A39" s="7">
        <v>265</v>
      </c>
      <c r="B39" s="7">
        <v>70</v>
      </c>
      <c r="C39" s="7">
        <v>3</v>
      </c>
      <c r="D39" s="7">
        <v>11285.84</v>
      </c>
      <c r="E39" s="7">
        <v>2637.7420000000002</v>
      </c>
      <c r="F39" s="7">
        <v>1.4857199999999999</v>
      </c>
      <c r="G39" s="7">
        <v>1.7015499999999999</v>
      </c>
      <c r="H39" s="7">
        <v>5.038564</v>
      </c>
      <c r="I39" s="7">
        <v>0.8420299</v>
      </c>
      <c r="J39" s="7" t="s">
        <v>13</v>
      </c>
      <c r="K39" s="7" t="s">
        <v>13</v>
      </c>
      <c r="L39" s="7" t="s">
        <v>13</v>
      </c>
      <c r="M39" s="7" t="s">
        <v>28</v>
      </c>
    </row>
    <row r="40" spans="1:13" x14ac:dyDescent="0.25">
      <c r="A40" s="7">
        <v>278</v>
      </c>
      <c r="B40" s="7">
        <v>83</v>
      </c>
      <c r="C40" s="7">
        <v>3</v>
      </c>
      <c r="D40" s="7">
        <v>11304.1</v>
      </c>
      <c r="E40" s="7">
        <v>2644.386</v>
      </c>
      <c r="F40" s="7">
        <v>1.9166080000000001</v>
      </c>
      <c r="G40" s="7">
        <v>2.9713639999999999</v>
      </c>
      <c r="H40" s="7">
        <v>6.5104959999999998</v>
      </c>
      <c r="I40" s="7">
        <v>0.88069209999999998</v>
      </c>
      <c r="J40" s="7" t="s">
        <v>27</v>
      </c>
      <c r="K40" s="7" t="s">
        <v>27</v>
      </c>
      <c r="L40" s="7" t="s">
        <v>27</v>
      </c>
      <c r="M40" s="7" t="s">
        <v>28</v>
      </c>
    </row>
    <row r="41" spans="1:13" x14ac:dyDescent="0.25">
      <c r="A41" s="7">
        <v>293</v>
      </c>
      <c r="B41" s="7">
        <v>12</v>
      </c>
      <c r="C41" s="7">
        <v>4</v>
      </c>
      <c r="D41" s="7">
        <v>12972.08</v>
      </c>
      <c r="E41" s="7">
        <v>2939.7579999999998</v>
      </c>
      <c r="F41" s="7">
        <v>0.87018620000000002</v>
      </c>
      <c r="G41" s="7">
        <v>0.57564890000000002</v>
      </c>
      <c r="H41" s="7">
        <v>3.0331510000000002</v>
      </c>
      <c r="I41" s="7">
        <v>0.78607879999999997</v>
      </c>
      <c r="J41" s="7" t="s">
        <v>27</v>
      </c>
      <c r="K41" s="7" t="s">
        <v>26</v>
      </c>
      <c r="L41" s="7" t="s">
        <v>26</v>
      </c>
      <c r="M41" s="7" t="s">
        <v>28</v>
      </c>
    </row>
    <row r="42" spans="1:13" x14ac:dyDescent="0.25">
      <c r="A42" s="7">
        <v>323</v>
      </c>
      <c r="B42" s="7">
        <v>42</v>
      </c>
      <c r="C42" s="7">
        <v>4</v>
      </c>
      <c r="D42" s="7">
        <v>12946.83</v>
      </c>
      <c r="E42" s="7">
        <v>2957.5520000000001</v>
      </c>
      <c r="F42" s="7">
        <v>1.884665</v>
      </c>
      <c r="G42" s="7">
        <v>2.9544329999999999</v>
      </c>
      <c r="H42" s="7">
        <v>6.6182759999999998</v>
      </c>
      <c r="I42" s="7">
        <v>0.84738519999999995</v>
      </c>
      <c r="J42" s="7" t="s">
        <v>13</v>
      </c>
      <c r="K42" s="7" t="s">
        <v>13</v>
      </c>
      <c r="L42" s="7" t="s">
        <v>13</v>
      </c>
      <c r="M42" s="7"/>
    </row>
    <row r="43" spans="1:13" x14ac:dyDescent="0.25">
      <c r="A43" s="7">
        <v>337</v>
      </c>
      <c r="B43" s="7">
        <v>56</v>
      </c>
      <c r="C43" s="7">
        <v>4</v>
      </c>
      <c r="D43" s="7">
        <v>12877.57</v>
      </c>
      <c r="E43" s="7">
        <v>2965.212</v>
      </c>
      <c r="F43" s="7">
        <v>1.200402</v>
      </c>
      <c r="G43" s="7">
        <v>1.083574</v>
      </c>
      <c r="H43" s="7">
        <v>4.5497259999999997</v>
      </c>
      <c r="I43" s="7">
        <v>0.65763450000000001</v>
      </c>
      <c r="J43" s="7" t="s">
        <v>13</v>
      </c>
      <c r="K43" s="7" t="s">
        <v>13</v>
      </c>
      <c r="L43" s="7" t="s">
        <v>13</v>
      </c>
      <c r="M43" s="7" t="s">
        <v>28</v>
      </c>
    </row>
    <row r="44" spans="1:13" x14ac:dyDescent="0.25">
      <c r="A44" s="7">
        <v>338</v>
      </c>
      <c r="B44" s="7">
        <v>57</v>
      </c>
      <c r="C44" s="7">
        <v>4</v>
      </c>
      <c r="D44" s="7">
        <v>12880.85</v>
      </c>
      <c r="E44" s="7">
        <v>2965.4389999999999</v>
      </c>
      <c r="F44" s="7">
        <v>1.360565</v>
      </c>
      <c r="G44" s="7">
        <v>1.379864</v>
      </c>
      <c r="H44" s="7">
        <v>4.9939210000000003</v>
      </c>
      <c r="I44" s="7">
        <v>0.69510349999999999</v>
      </c>
      <c r="J44" s="7" t="s">
        <v>13</v>
      </c>
      <c r="K44" s="7" t="s">
        <v>13</v>
      </c>
      <c r="L44" s="7" t="s">
        <v>13</v>
      </c>
      <c r="M44" s="7" t="s">
        <v>28</v>
      </c>
    </row>
    <row r="45" spans="1:13" x14ac:dyDescent="0.25">
      <c r="A45" s="7">
        <v>348</v>
      </c>
      <c r="B45" s="7">
        <v>67</v>
      </c>
      <c r="C45" s="7">
        <v>4</v>
      </c>
      <c r="D45" s="7">
        <v>13014.84</v>
      </c>
      <c r="E45" s="7">
        <v>2971.7550000000001</v>
      </c>
      <c r="F45" s="7">
        <v>1.629078</v>
      </c>
      <c r="G45" s="7">
        <v>2.107891</v>
      </c>
      <c r="H45" s="7">
        <v>5.5143279999999999</v>
      </c>
      <c r="I45" s="7">
        <v>0.87088220000000005</v>
      </c>
      <c r="J45" s="7" t="s">
        <v>27</v>
      </c>
      <c r="K45" s="7" t="s">
        <v>26</v>
      </c>
      <c r="L45" s="7" t="s">
        <v>26</v>
      </c>
      <c r="M45" s="7" t="s">
        <v>28</v>
      </c>
    </row>
    <row r="46" spans="1:13" x14ac:dyDescent="0.25">
      <c r="A46" s="7">
        <v>349</v>
      </c>
      <c r="B46" s="7">
        <v>68</v>
      </c>
      <c r="C46" s="7">
        <v>4</v>
      </c>
      <c r="D46" s="7">
        <v>12964.46</v>
      </c>
      <c r="E46" s="7">
        <v>2972.0770000000002</v>
      </c>
      <c r="F46" s="7">
        <v>1.639761</v>
      </c>
      <c r="G46" s="7">
        <v>2.1332870000000002</v>
      </c>
      <c r="H46" s="7">
        <v>5.5458959999999999</v>
      </c>
      <c r="I46" s="7">
        <v>0.87136950000000002</v>
      </c>
      <c r="J46" s="7" t="s">
        <v>27</v>
      </c>
      <c r="K46" s="7" t="s">
        <v>15</v>
      </c>
      <c r="L46" s="7" t="s">
        <v>15</v>
      </c>
      <c r="M46" s="7" t="s">
        <v>28</v>
      </c>
    </row>
    <row r="47" spans="1:13" x14ac:dyDescent="0.25">
      <c r="A47" s="7">
        <v>352</v>
      </c>
      <c r="B47" s="7">
        <v>71</v>
      </c>
      <c r="C47" s="7">
        <v>4</v>
      </c>
      <c r="D47" s="7">
        <v>13007.28</v>
      </c>
      <c r="E47" s="7">
        <v>2974.607</v>
      </c>
      <c r="F47" s="7">
        <v>0.83658129999999997</v>
      </c>
      <c r="G47" s="7">
        <v>0.53332170000000001</v>
      </c>
      <c r="H47" s="7">
        <v>2.8491590000000002</v>
      </c>
      <c r="I47" s="7">
        <v>0.82537669999999996</v>
      </c>
      <c r="J47" s="7" t="s">
        <v>27</v>
      </c>
      <c r="K47" s="7" t="s">
        <v>26</v>
      </c>
      <c r="L47" s="7" t="s">
        <v>26</v>
      </c>
      <c r="M47" s="7" t="s">
        <v>28</v>
      </c>
    </row>
    <row r="48" spans="1:13" x14ac:dyDescent="0.25">
      <c r="A48" s="7">
        <v>353</v>
      </c>
      <c r="B48" s="7">
        <v>72</v>
      </c>
      <c r="C48" s="7">
        <v>4</v>
      </c>
      <c r="D48" s="7">
        <v>13001.27</v>
      </c>
      <c r="E48" s="7">
        <v>2975.5459999999998</v>
      </c>
      <c r="F48" s="7">
        <v>2.1490649999999998</v>
      </c>
      <c r="G48" s="7">
        <v>3.3861699999999999</v>
      </c>
      <c r="H48" s="7">
        <v>7.9508599999999996</v>
      </c>
      <c r="I48" s="7">
        <v>0.67294089999999995</v>
      </c>
      <c r="J48" s="7" t="s">
        <v>27</v>
      </c>
      <c r="K48" s="7" t="s">
        <v>26</v>
      </c>
      <c r="L48" s="7" t="s">
        <v>26</v>
      </c>
      <c r="M48" s="7" t="s">
        <v>28</v>
      </c>
    </row>
    <row r="49" spans="1:13" x14ac:dyDescent="0.25">
      <c r="A49" s="7">
        <v>355</v>
      </c>
      <c r="B49" s="7">
        <v>74</v>
      </c>
      <c r="C49" s="7">
        <v>4</v>
      </c>
      <c r="D49" s="7">
        <v>13039.27</v>
      </c>
      <c r="E49" s="7">
        <v>2976.288</v>
      </c>
      <c r="F49" s="7">
        <v>1.649972</v>
      </c>
      <c r="G49" s="7">
        <v>1.879324</v>
      </c>
      <c r="H49" s="7">
        <v>6.1740810000000002</v>
      </c>
      <c r="I49" s="7">
        <v>0.61937469999999994</v>
      </c>
      <c r="J49" s="7" t="s">
        <v>13</v>
      </c>
      <c r="K49" s="7" t="s">
        <v>26</v>
      </c>
      <c r="L49" s="7" t="s">
        <v>13</v>
      </c>
      <c r="M49" s="7" t="s">
        <v>28</v>
      </c>
    </row>
    <row r="50" spans="1:13" x14ac:dyDescent="0.25">
      <c r="A50" s="7">
        <v>360</v>
      </c>
      <c r="B50" s="7">
        <v>79</v>
      </c>
      <c r="C50" s="7">
        <v>4</v>
      </c>
      <c r="D50" s="7">
        <v>13004.05</v>
      </c>
      <c r="E50" s="7">
        <v>2979.0790000000002</v>
      </c>
      <c r="F50" s="7">
        <v>1.089329</v>
      </c>
      <c r="G50" s="7">
        <v>0.94812759999999996</v>
      </c>
      <c r="H50" s="7">
        <v>3.6613370000000001</v>
      </c>
      <c r="I50" s="7">
        <v>0.88855390000000001</v>
      </c>
      <c r="J50" s="7" t="s">
        <v>27</v>
      </c>
      <c r="K50" s="7" t="s">
        <v>26</v>
      </c>
      <c r="L50" s="7" t="s">
        <v>26</v>
      </c>
      <c r="M50" s="7" t="s">
        <v>28</v>
      </c>
    </row>
    <row r="51" spans="1:13" x14ac:dyDescent="0.25">
      <c r="A51" s="7">
        <v>362</v>
      </c>
      <c r="B51" s="7">
        <v>81</v>
      </c>
      <c r="C51" s="7">
        <v>4</v>
      </c>
      <c r="D51" s="7">
        <v>13041.21</v>
      </c>
      <c r="E51" s="7">
        <v>2980.1529999999998</v>
      </c>
      <c r="F51" s="7">
        <v>0.84164700000000003</v>
      </c>
      <c r="G51" s="7">
        <v>0.52485630000000005</v>
      </c>
      <c r="H51" s="7">
        <v>2.772948</v>
      </c>
      <c r="I51" s="7">
        <v>0.85753829999999998</v>
      </c>
      <c r="J51" s="7" t="s">
        <v>27</v>
      </c>
      <c r="K51" s="7" t="s">
        <v>26</v>
      </c>
      <c r="L51" s="7" t="s">
        <v>26</v>
      </c>
      <c r="M51" s="7" t="s">
        <v>28</v>
      </c>
    </row>
    <row r="52" spans="1:13" x14ac:dyDescent="0.25">
      <c r="A52" s="7">
        <v>365</v>
      </c>
      <c r="B52" s="7">
        <v>84</v>
      </c>
      <c r="C52" s="7">
        <v>4</v>
      </c>
      <c r="D52" s="7">
        <v>13006.23</v>
      </c>
      <c r="E52" s="7">
        <v>2981.8139999999999</v>
      </c>
      <c r="F52" s="7">
        <v>1.065768</v>
      </c>
      <c r="G52" s="7">
        <v>0.87193880000000001</v>
      </c>
      <c r="H52" s="7">
        <v>3.4773450000000001</v>
      </c>
      <c r="I52" s="7">
        <v>0.90591350000000004</v>
      </c>
      <c r="J52" s="7" t="s">
        <v>27</v>
      </c>
      <c r="K52" s="7" t="s">
        <v>26</v>
      </c>
      <c r="L52" s="7" t="s">
        <v>26</v>
      </c>
      <c r="M52" s="7" t="s">
        <v>28</v>
      </c>
    </row>
    <row r="53" spans="1:13" x14ac:dyDescent="0.25">
      <c r="A53" s="7">
        <v>374</v>
      </c>
      <c r="B53" s="7">
        <v>93</v>
      </c>
      <c r="C53" s="7">
        <v>4</v>
      </c>
      <c r="D53" s="7">
        <v>12914.91</v>
      </c>
      <c r="E53" s="7">
        <v>2985.2550000000001</v>
      </c>
      <c r="F53" s="7">
        <v>6.6397279999999999</v>
      </c>
      <c r="G53" s="7">
        <v>34.970669999999998</v>
      </c>
      <c r="H53" s="7">
        <v>25.66093</v>
      </c>
      <c r="I53" s="7">
        <v>0.66719949999999995</v>
      </c>
      <c r="J53" s="7" t="s">
        <v>26</v>
      </c>
      <c r="K53" s="7" t="s">
        <v>26</v>
      </c>
      <c r="L53" s="7" t="s">
        <v>26</v>
      </c>
      <c r="M53" s="7" t="s">
        <v>46</v>
      </c>
    </row>
    <row r="54" spans="1:13" x14ac:dyDescent="0.25">
      <c r="A54" s="7">
        <v>376</v>
      </c>
      <c r="B54" s="7">
        <v>95</v>
      </c>
      <c r="C54" s="7">
        <v>4</v>
      </c>
      <c r="D54" s="7">
        <v>13020.74</v>
      </c>
      <c r="E54" s="7">
        <v>2989.6439999999998</v>
      </c>
      <c r="F54" s="7">
        <v>1.501997</v>
      </c>
      <c r="G54" s="7">
        <v>1.540707</v>
      </c>
      <c r="H54" s="7">
        <v>5.222556</v>
      </c>
      <c r="I54" s="7">
        <v>0.70965999999999996</v>
      </c>
      <c r="J54" s="7" t="s">
        <v>27</v>
      </c>
      <c r="K54" s="7" t="s">
        <v>26</v>
      </c>
      <c r="L54" s="7" t="s">
        <v>26</v>
      </c>
      <c r="M54" s="7" t="s">
        <v>28</v>
      </c>
    </row>
    <row r="55" spans="1:13" x14ac:dyDescent="0.25">
      <c r="A55" s="7">
        <v>378</v>
      </c>
      <c r="B55" s="7">
        <v>97</v>
      </c>
      <c r="C55" s="7">
        <v>4</v>
      </c>
      <c r="D55" s="7">
        <v>12959.37</v>
      </c>
      <c r="E55" s="7">
        <v>2989.549</v>
      </c>
      <c r="F55" s="7">
        <v>1.36558</v>
      </c>
      <c r="G55" s="7">
        <v>1.422191</v>
      </c>
      <c r="H55" s="7">
        <v>4.6575059999999997</v>
      </c>
      <c r="I55" s="7">
        <v>0.82365929999999998</v>
      </c>
      <c r="J55" s="7" t="s">
        <v>27</v>
      </c>
      <c r="K55" s="7" t="s">
        <v>27</v>
      </c>
      <c r="L55" s="7" t="s">
        <v>27</v>
      </c>
      <c r="M55" s="7"/>
    </row>
    <row r="56" spans="1:13" x14ac:dyDescent="0.25">
      <c r="A56" s="7">
        <v>379</v>
      </c>
      <c r="B56" s="7">
        <v>98</v>
      </c>
      <c r="C56" s="7">
        <v>4</v>
      </c>
      <c r="D56" s="7">
        <v>12973.05</v>
      </c>
      <c r="E56" s="7">
        <v>2990.114</v>
      </c>
      <c r="F56" s="7">
        <v>0.85659249999999998</v>
      </c>
      <c r="G56" s="7">
        <v>0.56718349999999995</v>
      </c>
      <c r="H56" s="7">
        <v>2.8491590000000002</v>
      </c>
      <c r="I56" s="7">
        <v>0.87778160000000005</v>
      </c>
      <c r="J56" s="7" t="s">
        <v>27</v>
      </c>
      <c r="K56" s="7" t="s">
        <v>26</v>
      </c>
      <c r="L56" s="7" t="s">
        <v>26</v>
      </c>
      <c r="M56" s="7" t="s">
        <v>47</v>
      </c>
    </row>
    <row r="57" spans="1:13" x14ac:dyDescent="0.25">
      <c r="A57" s="7">
        <v>380</v>
      </c>
      <c r="B57" s="7">
        <v>99</v>
      </c>
      <c r="C57" s="7">
        <v>4</v>
      </c>
      <c r="D57" s="7">
        <v>13010.75</v>
      </c>
      <c r="E57" s="7">
        <v>2990.0929999999998</v>
      </c>
      <c r="F57" s="7">
        <v>1.5722210000000001</v>
      </c>
      <c r="G57" s="7">
        <v>1.879324</v>
      </c>
      <c r="H57" s="7">
        <v>5.2856920000000001</v>
      </c>
      <c r="I57" s="7">
        <v>0.84507339999999997</v>
      </c>
      <c r="J57" s="7" t="s">
        <v>27</v>
      </c>
      <c r="K57" s="7" t="s">
        <v>26</v>
      </c>
      <c r="L57" s="7" t="s">
        <v>26</v>
      </c>
      <c r="M57" s="7" t="s">
        <v>28</v>
      </c>
    </row>
    <row r="58" spans="1:13" x14ac:dyDescent="0.25">
      <c r="A58" s="7">
        <v>381</v>
      </c>
      <c r="B58" s="7">
        <v>100</v>
      </c>
      <c r="C58" s="7">
        <v>4</v>
      </c>
      <c r="D58" s="7">
        <v>12914.97</v>
      </c>
      <c r="E58" s="7">
        <v>2985.1640000000002</v>
      </c>
      <c r="F58" s="7">
        <v>11.641540000000001</v>
      </c>
      <c r="G58" s="7">
        <v>107.5448</v>
      </c>
      <c r="H58" s="7">
        <v>47.597380000000001</v>
      </c>
      <c r="I58" s="7">
        <v>0.59637519999999999</v>
      </c>
      <c r="J58" s="7" t="s">
        <v>26</v>
      </c>
      <c r="K58" s="7" t="s">
        <v>26</v>
      </c>
      <c r="L58" s="7" t="s">
        <v>26</v>
      </c>
      <c r="M58" s="7" t="s">
        <v>46</v>
      </c>
    </row>
    <row r="59" spans="1:13" x14ac:dyDescent="0.25">
      <c r="A59" s="7">
        <v>382</v>
      </c>
      <c r="B59" s="7">
        <v>101</v>
      </c>
      <c r="C59" s="7">
        <v>4</v>
      </c>
      <c r="D59" s="7">
        <v>12929.53</v>
      </c>
      <c r="E59" s="7">
        <v>2990.7020000000002</v>
      </c>
      <c r="F59" s="7">
        <v>1.9356979999999999</v>
      </c>
      <c r="G59" s="7">
        <v>2.9544329999999999</v>
      </c>
      <c r="H59" s="7">
        <v>7.1386820000000002</v>
      </c>
      <c r="I59" s="7">
        <v>0.72834049999999995</v>
      </c>
      <c r="J59" s="7" t="s">
        <v>25</v>
      </c>
      <c r="K59" s="7" t="s">
        <v>25</v>
      </c>
      <c r="L59" s="7" t="s">
        <v>25</v>
      </c>
      <c r="M59" s="7" t="s">
        <v>48</v>
      </c>
    </row>
    <row r="60" spans="1:13" x14ac:dyDescent="0.25">
      <c r="A60" s="7">
        <v>384</v>
      </c>
      <c r="B60" s="7">
        <v>103</v>
      </c>
      <c r="C60" s="7">
        <v>4</v>
      </c>
      <c r="D60" s="7">
        <v>12952.97</v>
      </c>
      <c r="E60" s="7">
        <v>2990.4560000000001</v>
      </c>
      <c r="F60" s="7">
        <v>3.3308759999999999</v>
      </c>
      <c r="G60" s="7">
        <v>8.8125079999999993</v>
      </c>
      <c r="H60" s="7">
        <v>11.53598</v>
      </c>
      <c r="I60" s="7">
        <v>0.83192949999999999</v>
      </c>
      <c r="J60" s="7" t="s">
        <v>15</v>
      </c>
      <c r="K60" s="7" t="s">
        <v>15</v>
      </c>
      <c r="L60" s="7" t="s">
        <v>15</v>
      </c>
      <c r="M60" s="7" t="s">
        <v>28</v>
      </c>
    </row>
    <row r="61" spans="1:13" x14ac:dyDescent="0.25">
      <c r="A61" s="7">
        <v>385</v>
      </c>
      <c r="B61" s="7">
        <v>104</v>
      </c>
      <c r="C61" s="7">
        <v>4</v>
      </c>
      <c r="D61" s="7">
        <v>13025.35</v>
      </c>
      <c r="E61" s="7">
        <v>2989.1559999999999</v>
      </c>
      <c r="F61" s="7">
        <v>4.6288299999999998</v>
      </c>
      <c r="G61" s="7">
        <v>16.92238</v>
      </c>
      <c r="H61" s="7">
        <v>17.18966</v>
      </c>
      <c r="I61" s="7">
        <v>0.71948769999999995</v>
      </c>
      <c r="J61" s="7" t="s">
        <v>26</v>
      </c>
      <c r="K61" s="7" t="s">
        <v>26</v>
      </c>
      <c r="L61" s="7" t="s">
        <v>26</v>
      </c>
      <c r="M61" s="7" t="s">
        <v>48</v>
      </c>
    </row>
    <row r="62" spans="1:13" x14ac:dyDescent="0.25">
      <c r="A62" s="7">
        <v>396</v>
      </c>
      <c r="B62" s="7">
        <v>115</v>
      </c>
      <c r="C62" s="7">
        <v>4</v>
      </c>
      <c r="D62" s="7">
        <v>13008.34</v>
      </c>
      <c r="E62" s="7">
        <v>2997.201</v>
      </c>
      <c r="F62" s="7">
        <v>2.6980390000000001</v>
      </c>
      <c r="G62" s="7">
        <v>5.9765899999999998</v>
      </c>
      <c r="H62" s="7">
        <v>9.3596550000000001</v>
      </c>
      <c r="I62" s="7">
        <v>0.85709729999999995</v>
      </c>
      <c r="J62" s="7" t="s">
        <v>27</v>
      </c>
      <c r="K62" s="7" t="s">
        <v>13</v>
      </c>
      <c r="L62" s="7" t="s">
        <v>13</v>
      </c>
      <c r="M62" s="7"/>
    </row>
    <row r="63" spans="1:13" x14ac:dyDescent="0.25">
      <c r="A63" s="7">
        <v>411</v>
      </c>
      <c r="B63" s="7">
        <v>130</v>
      </c>
      <c r="C63" s="7">
        <v>4</v>
      </c>
      <c r="D63" s="7">
        <v>12982.04</v>
      </c>
      <c r="E63" s="7">
        <v>3006.6489999999999</v>
      </c>
      <c r="F63" s="7">
        <v>2.6100059999999998</v>
      </c>
      <c r="G63" s="7">
        <v>5.38401</v>
      </c>
      <c r="H63" s="7">
        <v>8.8392490000000006</v>
      </c>
      <c r="I63" s="7">
        <v>0.86570820000000004</v>
      </c>
      <c r="J63" s="7" t="s">
        <v>13</v>
      </c>
      <c r="K63" s="7" t="s">
        <v>13</v>
      </c>
      <c r="L63" s="7" t="s">
        <v>13</v>
      </c>
      <c r="M63" s="7"/>
    </row>
    <row r="64" spans="1:13" x14ac:dyDescent="0.25">
      <c r="A64" s="7">
        <v>413</v>
      </c>
      <c r="B64" s="7">
        <v>132</v>
      </c>
      <c r="C64" s="7">
        <v>4</v>
      </c>
      <c r="D64" s="7">
        <v>12943.88</v>
      </c>
      <c r="E64" s="7">
        <v>3008.8510000000001</v>
      </c>
      <c r="F64" s="7">
        <v>1.3409219999999999</v>
      </c>
      <c r="G64" s="7">
        <v>1.4052610000000001</v>
      </c>
      <c r="H64" s="7">
        <v>4.4419469999999999</v>
      </c>
      <c r="I64" s="7">
        <v>0.89476009999999995</v>
      </c>
      <c r="J64" s="7" t="s">
        <v>13</v>
      </c>
      <c r="K64" s="7" t="s">
        <v>13</v>
      </c>
      <c r="L64" s="7" t="s">
        <v>13</v>
      </c>
      <c r="M64" s="7"/>
    </row>
    <row r="65" spans="1:13" x14ac:dyDescent="0.25">
      <c r="A65" s="7">
        <v>414</v>
      </c>
      <c r="B65" s="7">
        <v>133</v>
      </c>
      <c r="C65" s="7">
        <v>4</v>
      </c>
      <c r="D65" s="7">
        <v>12972.46</v>
      </c>
      <c r="E65" s="7">
        <v>3008.6239999999998</v>
      </c>
      <c r="F65" s="7">
        <v>1.70163</v>
      </c>
      <c r="G65" s="7">
        <v>2.3703189999999998</v>
      </c>
      <c r="H65" s="7">
        <v>6.0663020000000003</v>
      </c>
      <c r="I65" s="7">
        <v>0.80919870000000005</v>
      </c>
      <c r="J65" s="7" t="s">
        <v>27</v>
      </c>
      <c r="K65" s="7" t="s">
        <v>26</v>
      </c>
      <c r="L65" s="7" t="s">
        <v>26</v>
      </c>
      <c r="M65" s="7" t="s">
        <v>28</v>
      </c>
    </row>
    <row r="66" spans="1:13" x14ac:dyDescent="0.25">
      <c r="A66" s="7">
        <v>421</v>
      </c>
      <c r="B66" s="7">
        <v>140</v>
      </c>
      <c r="C66" s="7">
        <v>4</v>
      </c>
      <c r="D66" s="7">
        <v>12926.48</v>
      </c>
      <c r="E66" s="7">
        <v>3012.386</v>
      </c>
      <c r="F66" s="7">
        <v>1.3428070000000001</v>
      </c>
      <c r="G66" s="7">
        <v>1.371399</v>
      </c>
      <c r="H66" s="7">
        <v>4.8099290000000003</v>
      </c>
      <c r="I66" s="7">
        <v>0.74470239999999999</v>
      </c>
      <c r="J66" s="7" t="s">
        <v>25</v>
      </c>
      <c r="K66" s="7" t="s">
        <v>25</v>
      </c>
      <c r="L66" s="7" t="s">
        <v>25</v>
      </c>
      <c r="M66" s="7" t="s">
        <v>29</v>
      </c>
    </row>
    <row r="67" spans="1:13" x14ac:dyDescent="0.25">
      <c r="A67" s="7">
        <v>430</v>
      </c>
      <c r="B67" s="7">
        <v>149</v>
      </c>
      <c r="C67" s="7">
        <v>4</v>
      </c>
      <c r="D67" s="7">
        <v>12970.17</v>
      </c>
      <c r="E67" s="7">
        <v>3016.6039999999998</v>
      </c>
      <c r="F67" s="7">
        <v>4.0979890000000001</v>
      </c>
      <c r="G67" s="7">
        <v>13.1722</v>
      </c>
      <c r="H67" s="7">
        <v>14.12494</v>
      </c>
      <c r="I67" s="7">
        <v>0.82943330000000004</v>
      </c>
      <c r="J67" s="7" t="s">
        <v>27</v>
      </c>
      <c r="K67" s="7" t="s">
        <v>26</v>
      </c>
      <c r="L67" s="7" t="s">
        <v>26</v>
      </c>
      <c r="M67" s="7" t="s">
        <v>28</v>
      </c>
    </row>
    <row r="68" spans="1:13" x14ac:dyDescent="0.25">
      <c r="A68" s="7">
        <v>437</v>
      </c>
      <c r="B68" s="7">
        <v>156</v>
      </c>
      <c r="C68" s="7">
        <v>4</v>
      </c>
      <c r="D68" s="7">
        <v>12961.64</v>
      </c>
      <c r="E68" s="7">
        <v>3018.8629999999998</v>
      </c>
      <c r="F68" s="7">
        <v>5.5633150000000002</v>
      </c>
      <c r="G68" s="7">
        <v>21.155100000000001</v>
      </c>
      <c r="H68" s="7">
        <v>22.259789999999999</v>
      </c>
      <c r="I68" s="7">
        <v>0.53637579999999996</v>
      </c>
      <c r="J68" s="7" t="s">
        <v>26</v>
      </c>
      <c r="K68" s="7" t="s">
        <v>25</v>
      </c>
      <c r="L68" s="7" t="s">
        <v>25</v>
      </c>
      <c r="M68" s="7" t="s">
        <v>50</v>
      </c>
    </row>
    <row r="69" spans="1:13" x14ac:dyDescent="0.25">
      <c r="A69" s="7">
        <v>442</v>
      </c>
      <c r="B69" s="7">
        <v>161</v>
      </c>
      <c r="C69" s="7">
        <v>4</v>
      </c>
      <c r="D69" s="7">
        <v>12996.92</v>
      </c>
      <c r="E69" s="7">
        <v>3020.8530000000001</v>
      </c>
      <c r="F69" s="7">
        <v>6.4784870000000003</v>
      </c>
      <c r="G69" s="7">
        <v>34.445810000000002</v>
      </c>
      <c r="H69" s="7">
        <v>23.237469999999998</v>
      </c>
      <c r="I69" s="7">
        <v>0.80141079999999998</v>
      </c>
      <c r="J69" s="7" t="s">
        <v>26</v>
      </c>
      <c r="K69" s="7" t="s">
        <v>13</v>
      </c>
      <c r="L69" s="7" t="s">
        <v>13</v>
      </c>
      <c r="M69" s="7" t="s">
        <v>45</v>
      </c>
    </row>
    <row r="70" spans="1:13" x14ac:dyDescent="0.25">
      <c r="A70" s="7">
        <v>445</v>
      </c>
      <c r="B70" s="7">
        <v>164</v>
      </c>
      <c r="C70" s="7">
        <v>4</v>
      </c>
      <c r="D70" s="7">
        <v>12969.32</v>
      </c>
      <c r="E70" s="7">
        <v>3025.5369999999998</v>
      </c>
      <c r="F70" s="7">
        <v>2.038173</v>
      </c>
      <c r="G70" s="7">
        <v>3.3353769999999998</v>
      </c>
      <c r="H70" s="7">
        <v>7.0624700000000002</v>
      </c>
      <c r="I70" s="7">
        <v>0.84009440000000002</v>
      </c>
      <c r="J70" s="7" t="s">
        <v>27</v>
      </c>
      <c r="K70" s="7" t="s">
        <v>26</v>
      </c>
      <c r="L70" s="7" t="s">
        <v>26</v>
      </c>
      <c r="M70" s="7"/>
    </row>
    <row r="71" spans="1:13" x14ac:dyDescent="0.25">
      <c r="A71" s="7">
        <v>456</v>
      </c>
      <c r="B71" s="7">
        <v>175</v>
      </c>
      <c r="C71" s="7">
        <v>4</v>
      </c>
      <c r="D71" s="7">
        <v>12913.61</v>
      </c>
      <c r="E71" s="7">
        <v>3031.0549999999998</v>
      </c>
      <c r="F71" s="7">
        <v>3.3335699999999999</v>
      </c>
      <c r="G71" s="7">
        <v>6.9755099999999999</v>
      </c>
      <c r="H71" s="7">
        <v>14.23272</v>
      </c>
      <c r="I71" s="7">
        <v>0.43260989999999999</v>
      </c>
      <c r="J71" s="7" t="s">
        <v>13</v>
      </c>
      <c r="K71" s="7" t="s">
        <v>13</v>
      </c>
      <c r="L71" s="7" t="s">
        <v>13</v>
      </c>
      <c r="M71" s="7" t="s">
        <v>45</v>
      </c>
    </row>
    <row r="72" spans="1:13" x14ac:dyDescent="0.25">
      <c r="A72" s="7">
        <v>458</v>
      </c>
      <c r="B72" s="7">
        <v>177</v>
      </c>
      <c r="C72" s="7">
        <v>4</v>
      </c>
      <c r="D72" s="7">
        <v>12989.69</v>
      </c>
      <c r="E72" s="7">
        <v>3032.098</v>
      </c>
      <c r="F72" s="7">
        <v>2.8344140000000002</v>
      </c>
      <c r="G72" s="7">
        <v>6.1458979999999999</v>
      </c>
      <c r="H72" s="7">
        <v>11.351990000000001</v>
      </c>
      <c r="I72" s="7">
        <v>0.59915269999999998</v>
      </c>
      <c r="J72" s="7" t="s">
        <v>27</v>
      </c>
      <c r="K72" s="7" t="s">
        <v>13</v>
      </c>
      <c r="L72" s="7" t="s">
        <v>13</v>
      </c>
      <c r="M72" s="7"/>
    </row>
    <row r="73" spans="1:13" x14ac:dyDescent="0.25">
      <c r="A73" s="7">
        <v>465</v>
      </c>
      <c r="B73" s="7">
        <v>184</v>
      </c>
      <c r="C73" s="7">
        <v>4</v>
      </c>
      <c r="D73" s="7">
        <v>13016.82</v>
      </c>
      <c r="E73" s="7">
        <v>3035.6370000000002</v>
      </c>
      <c r="F73" s="7">
        <v>2.997976</v>
      </c>
      <c r="G73" s="7">
        <v>7.4749699999999999</v>
      </c>
      <c r="H73" s="7">
        <v>11.01558</v>
      </c>
      <c r="I73" s="7">
        <v>0.77391140000000003</v>
      </c>
      <c r="J73" s="7" t="s">
        <v>26</v>
      </c>
      <c r="K73" s="7" t="s">
        <v>26</v>
      </c>
      <c r="L73" s="7" t="s">
        <v>26</v>
      </c>
      <c r="M73" s="7" t="s">
        <v>49</v>
      </c>
    </row>
    <row r="74" spans="1:13" x14ac:dyDescent="0.25">
      <c r="A74" s="7">
        <v>475</v>
      </c>
      <c r="B74" s="7">
        <v>194</v>
      </c>
      <c r="C74" s="7">
        <v>4</v>
      </c>
      <c r="D74" s="7">
        <v>12945.9</v>
      </c>
      <c r="E74" s="7">
        <v>3042.8</v>
      </c>
      <c r="F74" s="7">
        <v>1.569574</v>
      </c>
      <c r="G74" s="7">
        <v>1.896255</v>
      </c>
      <c r="H74" s="7">
        <v>5.2856920000000001</v>
      </c>
      <c r="I74" s="7">
        <v>0.85268659999999996</v>
      </c>
      <c r="J74" s="7" t="s">
        <v>13</v>
      </c>
      <c r="K74" s="7" t="s">
        <v>13</v>
      </c>
      <c r="L74" s="7" t="s">
        <v>13</v>
      </c>
      <c r="M74" s="7" t="s">
        <v>51</v>
      </c>
    </row>
    <row r="75" spans="1:13" x14ac:dyDescent="0.25">
      <c r="A75" s="7">
        <v>477</v>
      </c>
      <c r="B75" s="7">
        <v>196</v>
      </c>
      <c r="C75" s="7">
        <v>4</v>
      </c>
      <c r="D75" s="7">
        <v>12988.06</v>
      </c>
      <c r="E75" s="7">
        <v>3042.2359999999999</v>
      </c>
      <c r="F75" s="7">
        <v>3.518135</v>
      </c>
      <c r="G75" s="7">
        <v>9.3712250000000008</v>
      </c>
      <c r="H75" s="7">
        <v>15.0449</v>
      </c>
      <c r="I75" s="7">
        <v>0.52013279999999995</v>
      </c>
      <c r="J75" s="7" t="s">
        <v>15</v>
      </c>
      <c r="K75" s="7" t="s">
        <v>15</v>
      </c>
      <c r="L75" s="7" t="s">
        <v>15</v>
      </c>
      <c r="M75" s="7" t="s">
        <v>51</v>
      </c>
    </row>
    <row r="76" spans="1:13" x14ac:dyDescent="0.25">
      <c r="A76" s="7">
        <v>487</v>
      </c>
      <c r="B76" s="7">
        <v>1</v>
      </c>
      <c r="C76" s="7">
        <v>5</v>
      </c>
      <c r="D76" s="7">
        <v>23999.74</v>
      </c>
      <c r="E76" s="7">
        <v>5806.8130000000001</v>
      </c>
      <c r="F76" s="7">
        <v>1.362438</v>
      </c>
      <c r="G76" s="7">
        <v>1.4052610000000001</v>
      </c>
      <c r="H76" s="7">
        <v>5.222556</v>
      </c>
      <c r="I76" s="7">
        <v>0.64727230000000002</v>
      </c>
      <c r="J76" s="7" t="s">
        <v>13</v>
      </c>
      <c r="K76" s="7" t="s">
        <v>13</v>
      </c>
      <c r="L76" s="7" t="s">
        <v>13</v>
      </c>
      <c r="M76" s="7"/>
    </row>
    <row r="77" spans="1:13" x14ac:dyDescent="0.25">
      <c r="A77" s="7">
        <v>489</v>
      </c>
      <c r="B77" s="7">
        <v>3</v>
      </c>
      <c r="C77" s="7">
        <v>5</v>
      </c>
      <c r="D77" s="7">
        <v>24034.83</v>
      </c>
      <c r="E77" s="7">
        <v>5807.81</v>
      </c>
      <c r="F77" s="7">
        <v>2.4309379999999998</v>
      </c>
      <c r="G77" s="7">
        <v>4.5797949999999998</v>
      </c>
      <c r="H77" s="7">
        <v>8.395054</v>
      </c>
      <c r="I77" s="7">
        <v>0.81638569999999999</v>
      </c>
      <c r="J77" s="7" t="s">
        <v>25</v>
      </c>
      <c r="K77" s="7" t="s">
        <v>26</v>
      </c>
      <c r="L77" s="7" t="s">
        <v>26</v>
      </c>
      <c r="M77" s="7" t="s">
        <v>52</v>
      </c>
    </row>
    <row r="78" spans="1:13" x14ac:dyDescent="0.25">
      <c r="A78" s="7">
        <v>493</v>
      </c>
      <c r="B78" s="7">
        <v>7</v>
      </c>
      <c r="C78" s="7">
        <v>5</v>
      </c>
      <c r="D78" s="7">
        <v>24024.560000000001</v>
      </c>
      <c r="E78" s="7">
        <v>5809.5889999999999</v>
      </c>
      <c r="F78" s="7">
        <v>1.661089</v>
      </c>
      <c r="G78" s="7">
        <v>2.1840799999999998</v>
      </c>
      <c r="H78" s="7">
        <v>5.5458959999999999</v>
      </c>
      <c r="I78" s="7">
        <v>0.89211640000000003</v>
      </c>
      <c r="J78" s="7" t="s">
        <v>15</v>
      </c>
      <c r="K78" s="7" t="s">
        <v>15</v>
      </c>
      <c r="L78" s="7" t="s">
        <v>15</v>
      </c>
      <c r="M78" s="7"/>
    </row>
    <row r="79" spans="1:13" x14ac:dyDescent="0.25">
      <c r="A79" s="7">
        <v>496</v>
      </c>
      <c r="B79" s="7">
        <v>10</v>
      </c>
      <c r="C79" s="7">
        <v>5</v>
      </c>
      <c r="D79" s="7">
        <v>24037.16</v>
      </c>
      <c r="E79" s="7">
        <v>5811.7870000000003</v>
      </c>
      <c r="F79" s="7">
        <v>3.1418180000000002</v>
      </c>
      <c r="G79" s="7">
        <v>7.4834360000000002</v>
      </c>
      <c r="H79" s="7">
        <v>10.35582</v>
      </c>
      <c r="I79" s="7">
        <v>0.87665369999999998</v>
      </c>
      <c r="J79" s="7" t="s">
        <v>25</v>
      </c>
      <c r="K79" s="7" t="s">
        <v>25</v>
      </c>
      <c r="L79" s="7" t="s">
        <v>25</v>
      </c>
      <c r="M79" s="7" t="s">
        <v>35</v>
      </c>
    </row>
    <row r="80" spans="1:13" x14ac:dyDescent="0.25">
      <c r="A80" s="7">
        <v>505</v>
      </c>
      <c r="B80" s="7">
        <v>19</v>
      </c>
      <c r="C80" s="7">
        <v>5</v>
      </c>
      <c r="D80" s="7">
        <v>23930.52</v>
      </c>
      <c r="E80" s="7">
        <v>5825.5950000000003</v>
      </c>
      <c r="F80" s="7">
        <v>2.3690319999999998</v>
      </c>
      <c r="G80" s="7">
        <v>4.021077</v>
      </c>
      <c r="H80" s="7">
        <v>7.9192910000000003</v>
      </c>
      <c r="I80" s="7">
        <v>0.80550089999999996</v>
      </c>
      <c r="J80" s="7" t="s">
        <v>15</v>
      </c>
      <c r="K80" s="7" t="s">
        <v>15</v>
      </c>
      <c r="L80" s="7" t="s">
        <v>15</v>
      </c>
      <c r="M80" s="7"/>
    </row>
    <row r="81" spans="1:13" x14ac:dyDescent="0.25">
      <c r="A81" s="7">
        <v>519</v>
      </c>
      <c r="B81" s="7">
        <v>33</v>
      </c>
      <c r="C81" s="7">
        <v>5</v>
      </c>
      <c r="D81" s="7">
        <v>24013.84</v>
      </c>
      <c r="E81" s="7">
        <v>5836.277</v>
      </c>
      <c r="F81" s="7">
        <v>1.9224239999999999</v>
      </c>
      <c r="G81" s="7">
        <v>2.8443830000000001</v>
      </c>
      <c r="H81" s="7">
        <v>6.434285</v>
      </c>
      <c r="I81" s="7">
        <v>0.8631453</v>
      </c>
      <c r="J81" s="7" t="s">
        <v>27</v>
      </c>
      <c r="K81" s="7" t="s">
        <v>26</v>
      </c>
      <c r="L81" s="7" t="s">
        <v>26</v>
      </c>
      <c r="M81" s="7" t="s">
        <v>28</v>
      </c>
    </row>
    <row r="82" spans="1:13" x14ac:dyDescent="0.25">
      <c r="A82" s="7">
        <v>525</v>
      </c>
      <c r="B82" s="7">
        <v>39</v>
      </c>
      <c r="C82" s="7">
        <v>5</v>
      </c>
      <c r="D82" s="7">
        <v>24015.119999999999</v>
      </c>
      <c r="E82" s="7">
        <v>5840.1930000000002</v>
      </c>
      <c r="F82" s="7">
        <v>1.9206510000000001</v>
      </c>
      <c r="G82" s="7">
        <v>2.8697789999999999</v>
      </c>
      <c r="H82" s="7">
        <v>6.402717</v>
      </c>
      <c r="I82" s="7">
        <v>0.87946049999999998</v>
      </c>
      <c r="J82" s="7" t="s">
        <v>27</v>
      </c>
      <c r="K82" s="7" t="s">
        <v>26</v>
      </c>
      <c r="L82" s="7" t="s">
        <v>26</v>
      </c>
      <c r="M82" s="7" t="s">
        <v>28</v>
      </c>
    </row>
    <row r="83" spans="1:13" x14ac:dyDescent="0.25">
      <c r="A83" s="7">
        <v>547</v>
      </c>
      <c r="B83" s="7">
        <v>61</v>
      </c>
      <c r="C83" s="7">
        <v>5</v>
      </c>
      <c r="D83" s="7">
        <v>23888.67</v>
      </c>
      <c r="E83" s="7">
        <v>5854.893</v>
      </c>
      <c r="F83" s="7">
        <v>1.4509300000000001</v>
      </c>
      <c r="G83" s="7">
        <v>1.667689</v>
      </c>
      <c r="H83" s="7">
        <v>4.9939210000000003</v>
      </c>
      <c r="I83" s="7">
        <v>0.84009440000000002</v>
      </c>
      <c r="J83" s="7" t="s">
        <v>14</v>
      </c>
      <c r="K83" s="7" t="s">
        <v>14</v>
      </c>
      <c r="L83" s="7" t="s">
        <v>14</v>
      </c>
      <c r="M83" s="7" t="s">
        <v>28</v>
      </c>
    </row>
    <row r="84" spans="1:13" x14ac:dyDescent="0.25">
      <c r="A84" s="7">
        <v>549</v>
      </c>
      <c r="B84" s="7">
        <v>63</v>
      </c>
      <c r="C84" s="7">
        <v>5</v>
      </c>
      <c r="D84" s="7">
        <v>23997.040000000001</v>
      </c>
      <c r="E84" s="7">
        <v>5855.5730000000003</v>
      </c>
      <c r="F84" s="7">
        <v>1.3578969999999999</v>
      </c>
      <c r="G84" s="7">
        <v>1.4052610000000001</v>
      </c>
      <c r="H84" s="7">
        <v>4.397303</v>
      </c>
      <c r="I84" s="7">
        <v>0.91302050000000001</v>
      </c>
      <c r="J84" s="7" t="s">
        <v>27</v>
      </c>
      <c r="K84" s="7" t="s">
        <v>26</v>
      </c>
      <c r="L84" s="7" t="s">
        <v>26</v>
      </c>
      <c r="M84" s="7" t="s">
        <v>28</v>
      </c>
    </row>
    <row r="85" spans="1:13" x14ac:dyDescent="0.25">
      <c r="A85" s="7">
        <v>552</v>
      </c>
      <c r="B85" s="7">
        <v>66</v>
      </c>
      <c r="C85" s="7">
        <v>5</v>
      </c>
      <c r="D85" s="7">
        <v>23918.68</v>
      </c>
      <c r="E85" s="7">
        <v>5857.6530000000002</v>
      </c>
      <c r="F85" s="7">
        <v>1.7118679999999999</v>
      </c>
      <c r="G85" s="7">
        <v>2.1756139999999999</v>
      </c>
      <c r="H85" s="7">
        <v>5.7298869999999997</v>
      </c>
      <c r="I85" s="7">
        <v>0.83250380000000002</v>
      </c>
      <c r="J85" s="7" t="s">
        <v>13</v>
      </c>
      <c r="K85" s="7" t="s">
        <v>13</v>
      </c>
      <c r="L85" s="7" t="s">
        <v>13</v>
      </c>
      <c r="M85" s="7"/>
    </row>
    <row r="86" spans="1:13" x14ac:dyDescent="0.25">
      <c r="A86" s="7">
        <v>554</v>
      </c>
      <c r="B86" s="7">
        <v>68</v>
      </c>
      <c r="C86" s="7">
        <v>5</v>
      </c>
      <c r="D86" s="7">
        <v>24031.599999999999</v>
      </c>
      <c r="E86" s="7">
        <v>5857.5119999999997</v>
      </c>
      <c r="F86" s="7">
        <v>3.6138140000000001</v>
      </c>
      <c r="G86" s="7">
        <v>10.21777</v>
      </c>
      <c r="H86" s="7">
        <v>12.42437</v>
      </c>
      <c r="I86" s="7">
        <v>0.8315787</v>
      </c>
      <c r="J86" s="7" t="s">
        <v>15</v>
      </c>
      <c r="K86" s="7" t="s">
        <v>15</v>
      </c>
      <c r="L86" s="7" t="s">
        <v>15</v>
      </c>
      <c r="M86" s="7"/>
    </row>
    <row r="87" spans="1:13" x14ac:dyDescent="0.25">
      <c r="A87" s="7">
        <v>558</v>
      </c>
      <c r="B87" s="7">
        <v>72</v>
      </c>
      <c r="C87" s="7">
        <v>5</v>
      </c>
      <c r="D87" s="7">
        <v>23875.48</v>
      </c>
      <c r="E87" s="7">
        <v>5860.9669999999996</v>
      </c>
      <c r="F87" s="7">
        <v>0.84378180000000003</v>
      </c>
      <c r="G87" s="7">
        <v>0.49946010000000002</v>
      </c>
      <c r="H87" s="7">
        <v>3.109362</v>
      </c>
      <c r="I87" s="7">
        <v>0.64901450000000005</v>
      </c>
      <c r="J87" s="7" t="s">
        <v>27</v>
      </c>
      <c r="K87" s="7" t="s">
        <v>14</v>
      </c>
      <c r="L87" s="7" t="s">
        <v>14</v>
      </c>
      <c r="M87" s="7"/>
    </row>
    <row r="88" spans="1:13" x14ac:dyDescent="0.25">
      <c r="A88" s="7">
        <v>561</v>
      </c>
      <c r="B88" s="7">
        <v>75</v>
      </c>
      <c r="C88" s="7">
        <v>5</v>
      </c>
      <c r="D88" s="7">
        <v>23995.91</v>
      </c>
      <c r="E88" s="7">
        <v>5860.6779999999999</v>
      </c>
      <c r="F88" s="7">
        <v>3.0275859999999999</v>
      </c>
      <c r="G88" s="7">
        <v>7.2040769999999998</v>
      </c>
      <c r="H88" s="7">
        <v>10.27961</v>
      </c>
      <c r="I88" s="7">
        <v>0.85648780000000002</v>
      </c>
      <c r="J88" s="7" t="s">
        <v>13</v>
      </c>
      <c r="K88" s="7" t="s">
        <v>13</v>
      </c>
      <c r="L88" s="7" t="s">
        <v>13</v>
      </c>
      <c r="M88" s="7"/>
    </row>
    <row r="89" spans="1:13" x14ac:dyDescent="0.25">
      <c r="A89" s="7">
        <v>579</v>
      </c>
      <c r="B89" s="7">
        <v>93</v>
      </c>
      <c r="C89" s="7">
        <v>5</v>
      </c>
      <c r="D89" s="7">
        <v>23911.03</v>
      </c>
      <c r="E89" s="7">
        <v>5871.09</v>
      </c>
      <c r="F89" s="7">
        <v>1.4592639999999999</v>
      </c>
      <c r="G89" s="7">
        <v>1.6592229999999999</v>
      </c>
      <c r="H89" s="7">
        <v>4.9177090000000003</v>
      </c>
      <c r="I89" s="7">
        <v>0.86193699999999995</v>
      </c>
      <c r="J89" s="7" t="s">
        <v>13</v>
      </c>
      <c r="K89" s="7" t="s">
        <v>13</v>
      </c>
      <c r="L89" s="7" t="s">
        <v>13</v>
      </c>
      <c r="M89" s="7"/>
    </row>
    <row r="90" spans="1:13" x14ac:dyDescent="0.25">
      <c r="A90" s="7">
        <v>636</v>
      </c>
      <c r="B90" s="7">
        <v>150</v>
      </c>
      <c r="C90" s="7">
        <v>5</v>
      </c>
      <c r="D90" s="7">
        <v>23891.95</v>
      </c>
      <c r="E90" s="7">
        <v>5902.3019999999997</v>
      </c>
      <c r="F90" s="7">
        <v>1.4721630000000001</v>
      </c>
      <c r="G90" s="7">
        <v>1.693085</v>
      </c>
      <c r="H90" s="7">
        <v>4.9177090000000003</v>
      </c>
      <c r="I90" s="7">
        <v>0.87952759999999996</v>
      </c>
      <c r="J90" s="7" t="s">
        <v>27</v>
      </c>
      <c r="K90" s="7" t="s">
        <v>27</v>
      </c>
      <c r="L90" s="7" t="s">
        <v>27</v>
      </c>
      <c r="M90" s="7"/>
    </row>
    <row r="91" spans="1:13" x14ac:dyDescent="0.25">
      <c r="A91" s="7">
        <v>668</v>
      </c>
      <c r="B91" s="7">
        <v>182</v>
      </c>
      <c r="C91" s="7">
        <v>5</v>
      </c>
      <c r="D91" s="7">
        <v>23927.69</v>
      </c>
      <c r="E91" s="7">
        <v>5923.7449999999999</v>
      </c>
      <c r="F91" s="7">
        <v>4.0690090000000003</v>
      </c>
      <c r="G91" s="7">
        <v>13.222989999999999</v>
      </c>
      <c r="H91" s="7">
        <v>14.79777</v>
      </c>
      <c r="I91" s="7">
        <v>0.75863619999999998</v>
      </c>
      <c r="J91" s="7" t="s">
        <v>13</v>
      </c>
      <c r="K91" s="7" t="s">
        <v>13</v>
      </c>
      <c r="L91" s="7" t="s">
        <v>13</v>
      </c>
      <c r="M91" s="7"/>
    </row>
    <row r="92" spans="1:13" x14ac:dyDescent="0.25">
      <c r="A92" s="4">
        <v>22</v>
      </c>
      <c r="B92" s="4">
        <v>22</v>
      </c>
      <c r="C92" s="4">
        <v>1</v>
      </c>
      <c r="D92" s="4">
        <v>-9901.2890000000007</v>
      </c>
      <c r="E92" s="4">
        <v>-2239.723</v>
      </c>
      <c r="F92" s="4">
        <v>1.9048259999999999</v>
      </c>
      <c r="G92" s="4">
        <v>2.8020559999999999</v>
      </c>
      <c r="H92" s="4">
        <v>6.5736319999999999</v>
      </c>
      <c r="I92" s="4">
        <v>0.81463370000000002</v>
      </c>
      <c r="J92" s="4" t="s">
        <v>27</v>
      </c>
      <c r="K92" s="4" t="s">
        <v>26</v>
      </c>
      <c r="L92" s="4" t="s">
        <v>26</v>
      </c>
      <c r="M92" s="4" t="s">
        <v>59</v>
      </c>
    </row>
    <row r="93" spans="1:13" x14ac:dyDescent="0.25">
      <c r="A93" s="4">
        <v>29</v>
      </c>
      <c r="B93" s="4">
        <v>29</v>
      </c>
      <c r="C93" s="4">
        <v>1</v>
      </c>
      <c r="D93" s="4">
        <v>-9920.2829999999994</v>
      </c>
      <c r="E93" s="4">
        <v>-2228.931</v>
      </c>
      <c r="F93" s="4">
        <v>0.80726690000000001</v>
      </c>
      <c r="G93" s="4">
        <v>0.48252919999999999</v>
      </c>
      <c r="H93" s="4">
        <v>2.8491590000000002</v>
      </c>
      <c r="I93" s="4">
        <v>0.74676940000000003</v>
      </c>
      <c r="J93" s="4" t="s">
        <v>26</v>
      </c>
      <c r="K93" s="4" t="s">
        <v>26</v>
      </c>
      <c r="L93" s="4" t="s">
        <v>26</v>
      </c>
      <c r="M93" s="4" t="s">
        <v>60</v>
      </c>
    </row>
    <row r="94" spans="1:13" x14ac:dyDescent="0.25">
      <c r="A94" s="4">
        <v>31</v>
      </c>
      <c r="B94" s="4">
        <v>31</v>
      </c>
      <c r="C94" s="4">
        <v>1</v>
      </c>
      <c r="D94" s="4">
        <v>-9877.0169999999998</v>
      </c>
      <c r="E94" s="4">
        <v>-2227.0659999999998</v>
      </c>
      <c r="F94" s="4">
        <v>0.84307290000000001</v>
      </c>
      <c r="G94" s="4">
        <v>0.55025259999999998</v>
      </c>
      <c r="H94" s="4">
        <v>2.9569390000000002</v>
      </c>
      <c r="I94" s="4">
        <v>0.79063090000000003</v>
      </c>
      <c r="J94" s="4" t="s">
        <v>27</v>
      </c>
      <c r="K94" s="4" t="s">
        <v>26</v>
      </c>
      <c r="L94" s="4" t="s">
        <v>26</v>
      </c>
      <c r="M94" s="4" t="s">
        <v>28</v>
      </c>
    </row>
    <row r="95" spans="1:13" x14ac:dyDescent="0.25">
      <c r="A95" s="4">
        <v>32</v>
      </c>
      <c r="B95" s="4">
        <v>32</v>
      </c>
      <c r="C95" s="4">
        <v>1</v>
      </c>
      <c r="D95" s="4">
        <v>-9936.0930000000008</v>
      </c>
      <c r="E95" s="4">
        <v>-2226.4659999999999</v>
      </c>
      <c r="F95" s="4">
        <v>1.1445939999999999</v>
      </c>
      <c r="G95" s="4">
        <v>1.066643</v>
      </c>
      <c r="H95" s="4">
        <v>4.289523</v>
      </c>
      <c r="I95" s="4">
        <v>0.72827889999999995</v>
      </c>
      <c r="J95" s="4" t="s">
        <v>27</v>
      </c>
      <c r="K95" s="4" t="s">
        <v>26</v>
      </c>
      <c r="L95" s="4" t="s">
        <v>26</v>
      </c>
      <c r="M95" s="4" t="s">
        <v>28</v>
      </c>
    </row>
    <row r="96" spans="1:13" x14ac:dyDescent="0.25">
      <c r="A96" s="4">
        <v>33</v>
      </c>
      <c r="B96" s="4">
        <v>33</v>
      </c>
      <c r="C96" s="4">
        <v>1</v>
      </c>
      <c r="D96" s="4">
        <v>-9873.84</v>
      </c>
      <c r="E96" s="4">
        <v>-2224.31</v>
      </c>
      <c r="F96" s="4">
        <v>2.500022</v>
      </c>
      <c r="G96" s="4">
        <v>4.3681590000000003</v>
      </c>
      <c r="H96" s="4">
        <v>8.6868259999999999</v>
      </c>
      <c r="I96" s="4">
        <v>0.72723139999999997</v>
      </c>
      <c r="J96" s="4" t="s">
        <v>26</v>
      </c>
      <c r="K96" s="4" t="s">
        <v>26</v>
      </c>
      <c r="L96" s="4" t="s">
        <v>26</v>
      </c>
      <c r="M96" s="4" t="s">
        <v>61</v>
      </c>
    </row>
    <row r="97" spans="1:13" x14ac:dyDescent="0.25">
      <c r="A97" s="4">
        <v>34</v>
      </c>
      <c r="B97" s="4">
        <v>34</v>
      </c>
      <c r="C97" s="4">
        <v>1</v>
      </c>
      <c r="D97" s="4">
        <v>-9838.8330000000005</v>
      </c>
      <c r="E97" s="4">
        <v>-2221.7269999999999</v>
      </c>
      <c r="F97" s="4">
        <v>3.0167980000000001</v>
      </c>
      <c r="G97" s="4">
        <v>6.5776349999999999</v>
      </c>
      <c r="H97" s="4">
        <v>10.88931</v>
      </c>
      <c r="I97" s="4">
        <v>0.69689239999999997</v>
      </c>
      <c r="J97" s="4" t="s">
        <v>54</v>
      </c>
      <c r="K97" s="4" t="s">
        <v>26</v>
      </c>
      <c r="L97" s="4" t="s">
        <v>54</v>
      </c>
      <c r="M97" s="4" t="s">
        <v>62</v>
      </c>
    </row>
    <row r="98" spans="1:13" x14ac:dyDescent="0.25">
      <c r="A98" s="4">
        <v>39</v>
      </c>
      <c r="B98" s="4">
        <v>39</v>
      </c>
      <c r="C98" s="4">
        <v>1</v>
      </c>
      <c r="D98" s="4">
        <v>-9874.6610000000001</v>
      </c>
      <c r="E98" s="4">
        <v>-2218.375</v>
      </c>
      <c r="F98" s="4">
        <v>2.4993129999999999</v>
      </c>
      <c r="G98" s="4">
        <v>4.6390529999999996</v>
      </c>
      <c r="H98" s="4">
        <v>8.4266220000000001</v>
      </c>
      <c r="I98" s="4">
        <v>0.82076470000000001</v>
      </c>
      <c r="J98" s="4" t="s">
        <v>58</v>
      </c>
      <c r="K98" s="4" t="s">
        <v>14</v>
      </c>
      <c r="L98" s="4" t="s">
        <v>26</v>
      </c>
      <c r="M98" s="4" t="s">
        <v>63</v>
      </c>
    </row>
    <row r="99" spans="1:13" x14ac:dyDescent="0.25">
      <c r="A99" s="4">
        <v>53</v>
      </c>
      <c r="B99" s="4">
        <v>53</v>
      </c>
      <c r="C99" s="4">
        <v>1</v>
      </c>
      <c r="D99" s="4">
        <v>-9848.0879999999997</v>
      </c>
      <c r="E99" s="4">
        <v>-2204.1460000000002</v>
      </c>
      <c r="F99" s="4">
        <v>4.7615239999999996</v>
      </c>
      <c r="G99" s="4">
        <v>17.73507</v>
      </c>
      <c r="H99" s="4">
        <v>16.34591</v>
      </c>
      <c r="I99" s="4">
        <v>0.83389380000000002</v>
      </c>
      <c r="J99" s="4" t="s">
        <v>13</v>
      </c>
      <c r="K99" s="4" t="s">
        <v>13</v>
      </c>
      <c r="L99" s="4" t="s">
        <v>13</v>
      </c>
      <c r="M99" s="4"/>
    </row>
    <row r="100" spans="1:13" x14ac:dyDescent="0.25">
      <c r="A100" s="4">
        <v>54</v>
      </c>
      <c r="B100" s="4">
        <v>54</v>
      </c>
      <c r="C100" s="4">
        <v>1</v>
      </c>
      <c r="D100" s="4">
        <v>-9977.6029999999992</v>
      </c>
      <c r="E100" s="4">
        <v>-2201.7869999999998</v>
      </c>
      <c r="F100" s="4">
        <v>2.7588819999999998</v>
      </c>
      <c r="G100" s="4">
        <v>5.9427279999999998</v>
      </c>
      <c r="H100" s="4">
        <v>9.5752140000000008</v>
      </c>
      <c r="I100" s="4">
        <v>0.81430139999999995</v>
      </c>
      <c r="J100" s="4" t="s">
        <v>13</v>
      </c>
      <c r="K100" s="4" t="s">
        <v>26</v>
      </c>
      <c r="L100" s="4" t="s">
        <v>26</v>
      </c>
      <c r="M100" s="4" t="s">
        <v>44</v>
      </c>
    </row>
    <row r="101" spans="1:13" x14ac:dyDescent="0.25">
      <c r="A101" s="4">
        <v>59</v>
      </c>
      <c r="B101" s="4">
        <v>59</v>
      </c>
      <c r="C101" s="4">
        <v>1</v>
      </c>
      <c r="D101" s="4">
        <v>-9838.8019999999997</v>
      </c>
      <c r="E101" s="4">
        <v>-2194.0210000000002</v>
      </c>
      <c r="F101" s="4">
        <v>2.9192900000000002</v>
      </c>
      <c r="G101" s="4">
        <v>6.4591190000000003</v>
      </c>
      <c r="H101" s="4">
        <v>10.69224</v>
      </c>
      <c r="I101" s="4">
        <v>0.70979400000000004</v>
      </c>
      <c r="J101" s="4" t="s">
        <v>14</v>
      </c>
      <c r="K101" s="4" t="s">
        <v>26</v>
      </c>
      <c r="L101" s="4" t="s">
        <v>26</v>
      </c>
      <c r="M101" s="4" t="s">
        <v>64</v>
      </c>
    </row>
    <row r="102" spans="1:13" x14ac:dyDescent="0.25">
      <c r="A102" s="4">
        <v>61</v>
      </c>
      <c r="B102" s="4">
        <v>61</v>
      </c>
      <c r="C102" s="4">
        <v>1</v>
      </c>
      <c r="D102" s="4">
        <v>-9890.68</v>
      </c>
      <c r="E102" s="4">
        <v>-2190.2330000000002</v>
      </c>
      <c r="F102" s="4">
        <v>2.5480369999999999</v>
      </c>
      <c r="G102" s="4">
        <v>4.918412</v>
      </c>
      <c r="H102" s="4">
        <v>8.502834</v>
      </c>
      <c r="I102" s="4">
        <v>0.85466089999999995</v>
      </c>
      <c r="J102" s="4" t="s">
        <v>26</v>
      </c>
      <c r="K102" s="4" t="s">
        <v>26</v>
      </c>
      <c r="L102" s="4" t="s">
        <v>26</v>
      </c>
      <c r="M102" s="4" t="s">
        <v>65</v>
      </c>
    </row>
    <row r="103" spans="1:13" x14ac:dyDescent="0.25">
      <c r="A103" s="4">
        <v>64</v>
      </c>
      <c r="B103" s="4">
        <v>64</v>
      </c>
      <c r="C103" s="4">
        <v>1</v>
      </c>
      <c r="D103" s="4">
        <v>-9869.5239999999994</v>
      </c>
      <c r="E103" s="4">
        <v>-2177.8139999999999</v>
      </c>
      <c r="F103" s="4">
        <v>0.83193810000000001</v>
      </c>
      <c r="G103" s="4">
        <v>0.51639089999999999</v>
      </c>
      <c r="H103" s="4">
        <v>2.696736</v>
      </c>
      <c r="I103" s="4">
        <v>0.89206839999999998</v>
      </c>
      <c r="J103" s="4" t="s">
        <v>25</v>
      </c>
      <c r="K103" s="4" t="s">
        <v>25</v>
      </c>
      <c r="L103" s="4" t="s">
        <v>25</v>
      </c>
      <c r="M103" s="4" t="s">
        <v>66</v>
      </c>
    </row>
    <row r="104" spans="1:13" x14ac:dyDescent="0.25">
      <c r="A104" s="4">
        <v>65</v>
      </c>
      <c r="B104" s="4">
        <v>65</v>
      </c>
      <c r="C104" s="4">
        <v>1</v>
      </c>
      <c r="D104" s="4">
        <v>-10002.84</v>
      </c>
      <c r="E104" s="4">
        <v>-2177.616</v>
      </c>
      <c r="F104" s="4">
        <v>2.7504780000000002</v>
      </c>
      <c r="G104" s="4">
        <v>5.6041109999999996</v>
      </c>
      <c r="H104" s="4">
        <v>10.09562</v>
      </c>
      <c r="I104" s="4">
        <v>0.69077569999999999</v>
      </c>
      <c r="J104" s="4" t="s">
        <v>14</v>
      </c>
      <c r="K104" s="4" t="s">
        <v>14</v>
      </c>
      <c r="L104" s="4" t="s">
        <v>14</v>
      </c>
      <c r="M104" s="4" t="s">
        <v>67</v>
      </c>
    </row>
    <row r="105" spans="1:13" x14ac:dyDescent="0.25">
      <c r="A105" s="4">
        <v>66</v>
      </c>
      <c r="B105" s="4">
        <v>66</v>
      </c>
      <c r="C105" s="4">
        <v>1</v>
      </c>
      <c r="D105" s="4">
        <v>-9869.1489999999994</v>
      </c>
      <c r="E105" s="4">
        <v>-2176.6610000000001</v>
      </c>
      <c r="F105" s="4">
        <v>5.0963609999999999</v>
      </c>
      <c r="G105" s="4">
        <v>19.13186</v>
      </c>
      <c r="H105" s="4">
        <v>17.26587</v>
      </c>
      <c r="I105" s="4">
        <v>0.8062627</v>
      </c>
      <c r="J105" s="4" t="s">
        <v>25</v>
      </c>
      <c r="K105" s="4" t="s">
        <v>25</v>
      </c>
      <c r="L105" s="4" t="s">
        <v>25</v>
      </c>
      <c r="M105" s="4" t="s">
        <v>68</v>
      </c>
    </row>
    <row r="106" spans="1:13" x14ac:dyDescent="0.25">
      <c r="A106" s="4">
        <v>67</v>
      </c>
      <c r="B106" s="4">
        <v>67</v>
      </c>
      <c r="C106" s="4">
        <v>1</v>
      </c>
      <c r="D106" s="4">
        <v>-9893.0020000000004</v>
      </c>
      <c r="E106" s="4">
        <v>-2172.62</v>
      </c>
      <c r="F106" s="4">
        <v>0.75034480000000003</v>
      </c>
      <c r="G106" s="4">
        <v>0.4148058</v>
      </c>
      <c r="H106" s="4">
        <v>2.7413799999999999</v>
      </c>
      <c r="I106" s="4">
        <v>0.6934304</v>
      </c>
      <c r="J106" s="4" t="s">
        <v>27</v>
      </c>
      <c r="K106" s="4" t="s">
        <v>27</v>
      </c>
      <c r="L106" s="4" t="s">
        <v>27</v>
      </c>
      <c r="M106" s="4"/>
    </row>
    <row r="107" spans="1:13" x14ac:dyDescent="0.25">
      <c r="A107" s="4">
        <v>68</v>
      </c>
      <c r="B107" s="4">
        <v>68</v>
      </c>
      <c r="C107" s="4">
        <v>1</v>
      </c>
      <c r="D107" s="4">
        <v>-9931.5910000000003</v>
      </c>
      <c r="E107" s="4">
        <v>-2169.56</v>
      </c>
      <c r="F107" s="4">
        <v>1.8432219999999999</v>
      </c>
      <c r="G107" s="4">
        <v>2.6412119999999999</v>
      </c>
      <c r="H107" s="4">
        <v>6.434285</v>
      </c>
      <c r="I107" s="4">
        <v>0.80149210000000004</v>
      </c>
      <c r="J107" s="4" t="s">
        <v>27</v>
      </c>
      <c r="K107" s="4" t="s">
        <v>26</v>
      </c>
      <c r="L107" s="4" t="s">
        <v>26</v>
      </c>
      <c r="M107" s="4" t="s">
        <v>28</v>
      </c>
    </row>
    <row r="108" spans="1:13" x14ac:dyDescent="0.25">
      <c r="A108" s="4">
        <v>69</v>
      </c>
      <c r="B108" s="4">
        <v>69</v>
      </c>
      <c r="C108" s="4">
        <v>1</v>
      </c>
      <c r="D108" s="4">
        <v>-9857.5390000000007</v>
      </c>
      <c r="E108" s="4">
        <v>-2167.0520000000001</v>
      </c>
      <c r="F108" s="4">
        <v>0.60714820000000003</v>
      </c>
      <c r="G108" s="4">
        <v>0.2454973</v>
      </c>
      <c r="H108" s="4">
        <v>2.3287529999999999</v>
      </c>
      <c r="I108" s="4">
        <v>0.56871709999999998</v>
      </c>
      <c r="J108" s="4" t="s">
        <v>27</v>
      </c>
      <c r="K108" s="4" t="s">
        <v>27</v>
      </c>
      <c r="L108" s="4" t="s">
        <v>27</v>
      </c>
      <c r="M108" s="4"/>
    </row>
    <row r="109" spans="1:13" x14ac:dyDescent="0.25">
      <c r="A109" s="4">
        <v>70</v>
      </c>
      <c r="B109" s="4">
        <v>70</v>
      </c>
      <c r="C109" s="4">
        <v>1</v>
      </c>
      <c r="D109" s="4">
        <v>-9996.9470000000001</v>
      </c>
      <c r="E109" s="4">
        <v>-2166.5320000000002</v>
      </c>
      <c r="F109" s="4">
        <v>1.6885889999999999</v>
      </c>
      <c r="G109" s="4">
        <v>1.8454630000000001</v>
      </c>
      <c r="H109" s="4">
        <v>6.326505</v>
      </c>
      <c r="I109" s="4">
        <v>0.57926060000000001</v>
      </c>
      <c r="J109" s="4" t="s">
        <v>27</v>
      </c>
      <c r="K109" s="4" t="s">
        <v>26</v>
      </c>
      <c r="L109" s="4" t="s">
        <v>26</v>
      </c>
      <c r="M109" s="4" t="s">
        <v>44</v>
      </c>
    </row>
    <row r="110" spans="1:13" x14ac:dyDescent="0.25">
      <c r="A110" s="4">
        <v>71</v>
      </c>
      <c r="B110" s="4">
        <v>71</v>
      </c>
      <c r="C110" s="4">
        <v>1</v>
      </c>
      <c r="D110" s="4">
        <v>-9917.0049999999992</v>
      </c>
      <c r="E110" s="4">
        <v>-2164.5010000000002</v>
      </c>
      <c r="F110" s="4">
        <v>2.7500599999999999</v>
      </c>
      <c r="G110" s="4">
        <v>5.9257970000000002</v>
      </c>
      <c r="H110" s="4">
        <v>9.4674359999999993</v>
      </c>
      <c r="I110" s="4">
        <v>0.83057429999999999</v>
      </c>
      <c r="J110" s="4" t="s">
        <v>27</v>
      </c>
      <c r="K110" s="4" t="s">
        <v>26</v>
      </c>
      <c r="L110" s="4" t="s">
        <v>26</v>
      </c>
      <c r="M110" s="4" t="s">
        <v>44</v>
      </c>
    </row>
    <row r="111" spans="1:13" x14ac:dyDescent="0.25">
      <c r="A111" s="4">
        <v>73</v>
      </c>
      <c r="B111" s="4">
        <v>73</v>
      </c>
      <c r="C111" s="4">
        <v>1</v>
      </c>
      <c r="D111" s="4">
        <v>-9997.1550000000007</v>
      </c>
      <c r="E111" s="4">
        <v>-2160.308</v>
      </c>
      <c r="F111" s="4">
        <v>2.3696030000000001</v>
      </c>
      <c r="G111" s="4">
        <v>4.3850899999999999</v>
      </c>
      <c r="H111" s="4">
        <v>8.6236899999999999</v>
      </c>
      <c r="I111" s="4">
        <v>0.74077899999999997</v>
      </c>
      <c r="J111" s="4" t="s">
        <v>13</v>
      </c>
      <c r="K111" s="4" t="s">
        <v>13</v>
      </c>
      <c r="L111" s="4" t="s">
        <v>13</v>
      </c>
      <c r="M111" s="4"/>
    </row>
    <row r="112" spans="1:13" x14ac:dyDescent="0.25">
      <c r="A112" s="4">
        <v>75</v>
      </c>
      <c r="B112" s="4">
        <v>1</v>
      </c>
      <c r="C112" s="4">
        <v>2</v>
      </c>
      <c r="D112" s="4">
        <v>-12653</v>
      </c>
      <c r="E112" s="4">
        <v>1294.5909999999999</v>
      </c>
      <c r="F112" s="4">
        <v>1.471946</v>
      </c>
      <c r="G112" s="4">
        <v>1.2413190000000001</v>
      </c>
      <c r="H112" s="4">
        <v>5.8977040000000001</v>
      </c>
      <c r="I112" s="4">
        <v>0.4482892</v>
      </c>
      <c r="J112" s="4" t="s">
        <v>27</v>
      </c>
      <c r="K112" s="4" t="s">
        <v>26</v>
      </c>
      <c r="L112" s="4" t="s">
        <v>26</v>
      </c>
      <c r="M112" s="4" t="s">
        <v>28</v>
      </c>
    </row>
    <row r="113" spans="1:13" x14ac:dyDescent="0.25">
      <c r="A113" s="4">
        <v>82</v>
      </c>
      <c r="B113" s="4">
        <v>8</v>
      </c>
      <c r="C113" s="4">
        <v>2</v>
      </c>
      <c r="D113" s="4">
        <v>-12672.54</v>
      </c>
      <c r="E113" s="4">
        <v>1299.7139999999999</v>
      </c>
      <c r="F113" s="4">
        <v>2.0851510000000002</v>
      </c>
      <c r="G113" s="4">
        <v>3.3956219999999999</v>
      </c>
      <c r="H113" s="4">
        <v>7.5793179999999998</v>
      </c>
      <c r="I113" s="4">
        <v>0.74250579999999999</v>
      </c>
      <c r="J113" s="4" t="s">
        <v>13</v>
      </c>
      <c r="K113" s="4" t="s">
        <v>13</v>
      </c>
      <c r="L113" s="4" t="s">
        <v>13</v>
      </c>
      <c r="M113" s="4" t="s">
        <v>44</v>
      </c>
    </row>
    <row r="114" spans="1:13" x14ac:dyDescent="0.25">
      <c r="A114" s="4">
        <v>103</v>
      </c>
      <c r="B114" s="4">
        <v>29</v>
      </c>
      <c r="C114" s="4">
        <v>2</v>
      </c>
      <c r="D114" s="4">
        <v>-12659.06</v>
      </c>
      <c r="E114" s="4">
        <v>1335.33</v>
      </c>
      <c r="F114" s="4">
        <v>2.013538</v>
      </c>
      <c r="G114" s="4">
        <v>3.1032980000000001</v>
      </c>
      <c r="H114" s="4">
        <v>7.9289459999999998</v>
      </c>
      <c r="I114" s="4">
        <v>0.62005940000000004</v>
      </c>
      <c r="J114" s="4" t="s">
        <v>13</v>
      </c>
      <c r="K114" s="4" t="s">
        <v>13</v>
      </c>
      <c r="L114" s="4" t="s">
        <v>13</v>
      </c>
      <c r="M114" s="4"/>
    </row>
    <row r="115" spans="1:13" x14ac:dyDescent="0.25">
      <c r="A115" s="4">
        <v>136</v>
      </c>
      <c r="B115" s="4">
        <v>2</v>
      </c>
      <c r="C115" s="4">
        <v>4</v>
      </c>
      <c r="D115" s="4">
        <v>-10610.19</v>
      </c>
      <c r="E115" s="4">
        <v>-3544.433</v>
      </c>
      <c r="F115" s="4">
        <v>1.2161360000000001</v>
      </c>
      <c r="G115" s="4">
        <v>1.1375230000000001</v>
      </c>
      <c r="H115" s="4">
        <v>4.351661</v>
      </c>
      <c r="I115" s="4">
        <v>0.75455470000000002</v>
      </c>
      <c r="J115" s="4" t="s">
        <v>27</v>
      </c>
      <c r="K115" s="4" t="s">
        <v>26</v>
      </c>
      <c r="L115" s="4" t="s">
        <v>26</v>
      </c>
      <c r="M115" s="4" t="s">
        <v>28</v>
      </c>
    </row>
    <row r="116" spans="1:13" x14ac:dyDescent="0.25">
      <c r="A116" s="4">
        <v>144</v>
      </c>
      <c r="B116" s="4">
        <v>10</v>
      </c>
      <c r="C116" s="4">
        <v>4</v>
      </c>
      <c r="D116" s="4">
        <v>-10610.94</v>
      </c>
      <c r="E116" s="4">
        <v>-3526.79</v>
      </c>
      <c r="F116" s="4">
        <v>1.0315970000000001</v>
      </c>
      <c r="G116" s="4">
        <v>0.81977900000000004</v>
      </c>
      <c r="H116" s="4">
        <v>3.6469860000000001</v>
      </c>
      <c r="I116" s="4">
        <v>0.77422880000000005</v>
      </c>
      <c r="J116" s="4" t="s">
        <v>27</v>
      </c>
      <c r="K116" s="4" t="s">
        <v>26</v>
      </c>
      <c r="L116" s="4" t="s">
        <v>26</v>
      </c>
      <c r="M116" s="4" t="s">
        <v>69</v>
      </c>
    </row>
    <row r="117" spans="1:13" x14ac:dyDescent="0.25">
      <c r="A117" s="4">
        <v>145</v>
      </c>
      <c r="B117" s="4">
        <v>11</v>
      </c>
      <c r="C117" s="4">
        <v>4</v>
      </c>
      <c r="D117" s="4">
        <v>-10618.1</v>
      </c>
      <c r="E117" s="4">
        <v>-3523.5340000000001</v>
      </c>
      <c r="F117" s="4">
        <v>1.6897089999999999</v>
      </c>
      <c r="G117" s="4">
        <v>2.2538629999999999</v>
      </c>
      <c r="H117" s="4">
        <v>5.7544700000000004</v>
      </c>
      <c r="I117" s="4">
        <v>0.85498320000000005</v>
      </c>
      <c r="J117" s="4" t="s">
        <v>27</v>
      </c>
      <c r="K117" s="4" t="s">
        <v>26</v>
      </c>
      <c r="L117" s="4" t="s">
        <v>26</v>
      </c>
      <c r="M117" s="4" t="s">
        <v>69</v>
      </c>
    </row>
    <row r="118" spans="1:13" x14ac:dyDescent="0.25">
      <c r="A118" s="4">
        <v>162</v>
      </c>
      <c r="B118" s="4">
        <v>1</v>
      </c>
      <c r="C118" s="4">
        <v>5</v>
      </c>
      <c r="D118" s="4">
        <v>-12220</v>
      </c>
      <c r="E118" s="4">
        <v>-2303.2060000000001</v>
      </c>
      <c r="F118" s="4">
        <v>1.0362910000000001</v>
      </c>
      <c r="G118" s="4">
        <v>0.62065959999999998</v>
      </c>
      <c r="H118" s="4">
        <v>4.0597750000000001</v>
      </c>
      <c r="I118" s="4">
        <v>0.4730317</v>
      </c>
      <c r="J118" s="4" t="s">
        <v>58</v>
      </c>
      <c r="K118" s="4" t="s">
        <v>26</v>
      </c>
      <c r="L118" s="4" t="s">
        <v>58</v>
      </c>
      <c r="M118" s="4" t="s">
        <v>28</v>
      </c>
    </row>
    <row r="119" spans="1:13" x14ac:dyDescent="0.25">
      <c r="A119" s="4">
        <v>166</v>
      </c>
      <c r="B119" s="4">
        <v>5</v>
      </c>
      <c r="C119" s="4">
        <v>5</v>
      </c>
      <c r="D119" s="4">
        <v>-12187.8</v>
      </c>
      <c r="E119" s="4">
        <v>-2298.0100000000002</v>
      </c>
      <c r="F119" s="4">
        <v>2.7699259999999999</v>
      </c>
      <c r="G119" s="4">
        <v>6.0223050000000002</v>
      </c>
      <c r="H119" s="4">
        <v>9.455368</v>
      </c>
      <c r="I119" s="4">
        <v>0.84614860000000003</v>
      </c>
      <c r="J119" s="4" t="s">
        <v>58</v>
      </c>
      <c r="K119" s="4" t="s">
        <v>58</v>
      </c>
      <c r="L119" s="4" t="s">
        <v>58</v>
      </c>
      <c r="M119" s="4" t="s">
        <v>28</v>
      </c>
    </row>
    <row r="120" spans="1:13" x14ac:dyDescent="0.25">
      <c r="A120" s="4">
        <v>188</v>
      </c>
      <c r="B120" s="4">
        <v>27</v>
      </c>
      <c r="C120" s="4">
        <v>5</v>
      </c>
      <c r="D120" s="4">
        <v>-12196.23</v>
      </c>
      <c r="E120" s="4">
        <v>-2275.5659999999998</v>
      </c>
      <c r="F120" s="4">
        <v>1.703047</v>
      </c>
      <c r="G120" s="4">
        <v>2.2983470000000001</v>
      </c>
      <c r="H120" s="4">
        <v>5.8465020000000001</v>
      </c>
      <c r="I120" s="4">
        <v>0.84462539999999997</v>
      </c>
      <c r="J120" s="4" t="s">
        <v>27</v>
      </c>
      <c r="K120" s="4" t="s">
        <v>26</v>
      </c>
      <c r="L120" s="4" t="s">
        <v>26</v>
      </c>
      <c r="M120" s="4" t="s">
        <v>28</v>
      </c>
    </row>
    <row r="121" spans="1:13" x14ac:dyDescent="0.25">
      <c r="A121" s="4">
        <v>196</v>
      </c>
      <c r="B121" s="4">
        <v>35</v>
      </c>
      <c r="C121" s="4">
        <v>5</v>
      </c>
      <c r="D121" s="4">
        <v>-12231.01</v>
      </c>
      <c r="E121" s="4">
        <v>-2265.9389999999999</v>
      </c>
      <c r="F121" s="4">
        <v>1.854414</v>
      </c>
      <c r="G121" s="4">
        <v>2.639392</v>
      </c>
      <c r="H121" s="4">
        <v>6.4368150000000002</v>
      </c>
      <c r="I121" s="4">
        <v>0.80020760000000002</v>
      </c>
      <c r="J121" s="4" t="s">
        <v>13</v>
      </c>
      <c r="K121" s="4" t="s">
        <v>13</v>
      </c>
      <c r="L121" s="4" t="s">
        <v>13</v>
      </c>
      <c r="M121" s="4" t="s">
        <v>28</v>
      </c>
    </row>
    <row r="122" spans="1:13" x14ac:dyDescent="0.25">
      <c r="A122" s="4">
        <v>206</v>
      </c>
      <c r="B122" s="4">
        <v>1</v>
      </c>
      <c r="C122" s="4">
        <v>6</v>
      </c>
      <c r="D122" s="4">
        <v>-9008.65</v>
      </c>
      <c r="E122" s="4">
        <v>-2530.2170000000001</v>
      </c>
      <c r="F122" s="4">
        <v>1.311717</v>
      </c>
      <c r="G122" s="4">
        <v>1.4107829999999999</v>
      </c>
      <c r="H122" s="4">
        <v>5.1483679999999996</v>
      </c>
      <c r="I122" s="4">
        <v>0.66859279999999999</v>
      </c>
      <c r="J122" s="4" t="s">
        <v>26</v>
      </c>
      <c r="K122" s="4" t="s">
        <v>26</v>
      </c>
      <c r="L122" s="4" t="s">
        <v>26</v>
      </c>
      <c r="M122" s="4" t="s">
        <v>70</v>
      </c>
    </row>
    <row r="123" spans="1:13" x14ac:dyDescent="0.25">
      <c r="A123" s="4">
        <v>208</v>
      </c>
      <c r="B123" s="4">
        <v>3</v>
      </c>
      <c r="C123" s="4">
        <v>6</v>
      </c>
      <c r="D123" s="4">
        <v>-8994.4040000000005</v>
      </c>
      <c r="E123" s="4">
        <v>-2530.047</v>
      </c>
      <c r="F123" s="4">
        <v>1.9146099999999999</v>
      </c>
      <c r="G123" s="4">
        <v>2.8491029999999999</v>
      </c>
      <c r="H123" s="4">
        <v>7.3005139999999997</v>
      </c>
      <c r="I123" s="4">
        <v>0.67149400000000004</v>
      </c>
      <c r="J123" s="4" t="s">
        <v>25</v>
      </c>
      <c r="K123" s="4" t="s">
        <v>25</v>
      </c>
      <c r="L123" s="4" t="s">
        <v>25</v>
      </c>
      <c r="M123" s="4" t="s">
        <v>71</v>
      </c>
    </row>
    <row r="124" spans="1:13" x14ac:dyDescent="0.25">
      <c r="A124" s="4">
        <v>213</v>
      </c>
      <c r="B124" s="4">
        <v>8</v>
      </c>
      <c r="C124" s="4">
        <v>6</v>
      </c>
      <c r="D124" s="4">
        <v>-9033.6959999999999</v>
      </c>
      <c r="E124" s="4">
        <v>-2515.8519999999999</v>
      </c>
      <c r="F124" s="4">
        <v>2.1042610000000002</v>
      </c>
      <c r="G124" s="4">
        <v>3.1011799999999998</v>
      </c>
      <c r="H124" s="4">
        <v>12.25445</v>
      </c>
      <c r="I124" s="4">
        <v>0.25940619999999998</v>
      </c>
      <c r="J124" s="4" t="s">
        <v>26</v>
      </c>
      <c r="K124" s="4" t="s">
        <v>26</v>
      </c>
      <c r="L124" s="4" t="s">
        <v>26</v>
      </c>
      <c r="M124" s="4" t="s">
        <v>72</v>
      </c>
    </row>
    <row r="125" spans="1:13" x14ac:dyDescent="0.25">
      <c r="A125" s="4">
        <v>223</v>
      </c>
      <c r="B125" s="4">
        <v>18</v>
      </c>
      <c r="C125" s="4">
        <v>6</v>
      </c>
      <c r="D125" s="4">
        <v>-9010.9320000000007</v>
      </c>
      <c r="E125" s="4">
        <v>-2503.201</v>
      </c>
      <c r="F125" s="4">
        <v>2.0390890000000002</v>
      </c>
      <c r="G125" s="4">
        <v>3.2452239999999999</v>
      </c>
      <c r="H125" s="4">
        <v>6.9350949999999996</v>
      </c>
      <c r="I125" s="4">
        <v>0.84757979999999999</v>
      </c>
      <c r="J125" s="4" t="s">
        <v>14</v>
      </c>
      <c r="K125" s="4" t="s">
        <v>26</v>
      </c>
      <c r="L125" s="4" t="s">
        <v>14</v>
      </c>
      <c r="M125" s="4" t="s">
        <v>28</v>
      </c>
    </row>
    <row r="126" spans="1:13" x14ac:dyDescent="0.25">
      <c r="A126" s="4">
        <v>231</v>
      </c>
      <c r="B126" s="4">
        <v>1</v>
      </c>
      <c r="C126" s="4">
        <v>7</v>
      </c>
      <c r="D126" s="4">
        <v>-9170.9259999999995</v>
      </c>
      <c r="E126" s="4">
        <v>1598.577</v>
      </c>
      <c r="F126" s="4">
        <v>1.708526</v>
      </c>
      <c r="G126" s="4">
        <v>2.2580990000000001</v>
      </c>
      <c r="H126" s="4">
        <v>5.6558979999999996</v>
      </c>
      <c r="I126" s="4">
        <v>0.8867081</v>
      </c>
      <c r="J126" s="4" t="s">
        <v>27</v>
      </c>
      <c r="K126" s="4" t="s">
        <v>26</v>
      </c>
      <c r="L126" s="4" t="s">
        <v>26</v>
      </c>
      <c r="M126" s="4" t="s">
        <v>28</v>
      </c>
    </row>
    <row r="127" spans="1:13" x14ac:dyDescent="0.25">
      <c r="A127" s="4">
        <v>232</v>
      </c>
      <c r="B127" s="4">
        <v>2</v>
      </c>
      <c r="C127" s="4">
        <v>7</v>
      </c>
      <c r="D127" s="4">
        <v>-9161.3919999999998</v>
      </c>
      <c r="E127" s="4">
        <v>1602.3</v>
      </c>
      <c r="F127" s="4">
        <v>2.1240559999999999</v>
      </c>
      <c r="G127" s="4">
        <v>3.5735589999999999</v>
      </c>
      <c r="H127" s="4">
        <v>7.287433</v>
      </c>
      <c r="I127" s="4">
        <v>0.84526460000000003</v>
      </c>
      <c r="J127" s="4" t="s">
        <v>58</v>
      </c>
      <c r="K127" s="4" t="s">
        <v>58</v>
      </c>
      <c r="L127" s="4" t="s">
        <v>58</v>
      </c>
      <c r="M127" s="4"/>
    </row>
    <row r="128" spans="1:13" x14ac:dyDescent="0.25">
      <c r="A128" s="4">
        <v>233</v>
      </c>
      <c r="B128" s="4">
        <v>3</v>
      </c>
      <c r="C128" s="4">
        <v>7</v>
      </c>
      <c r="D128" s="4">
        <v>-9152.4339999999993</v>
      </c>
      <c r="E128" s="4">
        <v>1602.8040000000001</v>
      </c>
      <c r="F128" s="4">
        <v>1.707511</v>
      </c>
      <c r="G128" s="4">
        <v>2.2962289999999999</v>
      </c>
      <c r="H128" s="4">
        <v>6.0463560000000003</v>
      </c>
      <c r="I128" s="4">
        <v>0.78898449999999998</v>
      </c>
      <c r="J128" s="4" t="s">
        <v>58</v>
      </c>
      <c r="K128" s="4" t="s">
        <v>58</v>
      </c>
      <c r="L128" s="4" t="s">
        <v>58</v>
      </c>
      <c r="M128" s="4"/>
    </row>
    <row r="129" spans="1:13" x14ac:dyDescent="0.25">
      <c r="A129" s="4">
        <v>262</v>
      </c>
      <c r="B129" s="4">
        <v>6</v>
      </c>
      <c r="C129" s="4">
        <v>8</v>
      </c>
      <c r="D129" s="4">
        <v>-8955.1620000000003</v>
      </c>
      <c r="E129" s="4">
        <v>5029.4780000000001</v>
      </c>
      <c r="F129" s="4">
        <v>1.6939960000000001</v>
      </c>
      <c r="G129" s="4">
        <v>2.2326800000000002</v>
      </c>
      <c r="H129" s="4">
        <v>6.2304199999999996</v>
      </c>
      <c r="I129" s="4">
        <v>0.72249129999999995</v>
      </c>
      <c r="J129" s="4" t="s">
        <v>27</v>
      </c>
      <c r="K129" s="4" t="s">
        <v>27</v>
      </c>
      <c r="L129" s="4" t="s">
        <v>27</v>
      </c>
      <c r="M129" s="4"/>
    </row>
    <row r="130" spans="1:13" x14ac:dyDescent="0.25">
      <c r="A130" s="4">
        <v>266</v>
      </c>
      <c r="B130" s="4">
        <v>10</v>
      </c>
      <c r="C130" s="4">
        <v>8</v>
      </c>
      <c r="D130" s="4">
        <v>-8952.7549999999992</v>
      </c>
      <c r="E130" s="4">
        <v>5035.62</v>
      </c>
      <c r="F130" s="4">
        <v>2.083237</v>
      </c>
      <c r="G130" s="4">
        <v>3.3935040000000001</v>
      </c>
      <c r="H130" s="4">
        <v>8.4076050000000002</v>
      </c>
      <c r="I130" s="4">
        <v>0.60303779999999996</v>
      </c>
      <c r="J130" s="4" t="s">
        <v>26</v>
      </c>
      <c r="K130" s="4" t="s">
        <v>14</v>
      </c>
      <c r="L130" s="4" t="s">
        <v>14</v>
      </c>
      <c r="M130" s="4" t="s">
        <v>73</v>
      </c>
    </row>
    <row r="131" spans="1:13" x14ac:dyDescent="0.25">
      <c r="A131" s="4">
        <v>279</v>
      </c>
      <c r="B131" s="4">
        <v>23</v>
      </c>
      <c r="C131" s="4">
        <v>8</v>
      </c>
      <c r="D131" s="4">
        <v>-8956.9069999999992</v>
      </c>
      <c r="E131" s="4">
        <v>5050.875</v>
      </c>
      <c r="F131" s="4">
        <v>1.9478789999999999</v>
      </c>
      <c r="G131" s="4">
        <v>2.9613719999999999</v>
      </c>
      <c r="H131" s="4">
        <v>6.6432089999999997</v>
      </c>
      <c r="I131" s="4">
        <v>0.84290370000000003</v>
      </c>
      <c r="J131" s="4" t="s">
        <v>27</v>
      </c>
      <c r="K131" s="4" t="s">
        <v>26</v>
      </c>
      <c r="L131" s="4" t="s">
        <v>26</v>
      </c>
      <c r="M131" s="4" t="s">
        <v>28</v>
      </c>
    </row>
    <row r="132" spans="1:13" x14ac:dyDescent="0.25">
      <c r="A132" s="4">
        <v>289</v>
      </c>
      <c r="B132" s="4">
        <v>2</v>
      </c>
      <c r="C132" s="4">
        <v>9</v>
      </c>
      <c r="D132" s="4">
        <v>-6719.3230000000003</v>
      </c>
      <c r="E132" s="4">
        <v>3101.5810000000001</v>
      </c>
      <c r="F132" s="4">
        <v>1.2822089999999999</v>
      </c>
      <c r="G132" s="4">
        <v>1.2370829999999999</v>
      </c>
      <c r="H132" s="4">
        <v>6.5446369999999998</v>
      </c>
      <c r="I132" s="4">
        <v>0.36280099999999998</v>
      </c>
      <c r="J132" s="4" t="s">
        <v>27</v>
      </c>
      <c r="K132" s="4" t="s">
        <v>56</v>
      </c>
      <c r="L132" s="4" t="s">
        <v>56</v>
      </c>
      <c r="M132" s="4" t="s">
        <v>28</v>
      </c>
    </row>
    <row r="133" spans="1:13" x14ac:dyDescent="0.25">
      <c r="A133" s="4">
        <v>304</v>
      </c>
      <c r="B133" s="4">
        <v>17</v>
      </c>
      <c r="C133" s="4">
        <v>9</v>
      </c>
      <c r="D133" s="4">
        <v>-6693.277</v>
      </c>
      <c r="E133" s="4">
        <v>3114.8789999999999</v>
      </c>
      <c r="F133" s="4">
        <v>2.1439189999999999</v>
      </c>
      <c r="G133" s="4">
        <v>3.3596110000000001</v>
      </c>
      <c r="H133" s="4">
        <v>7.7160120000000001</v>
      </c>
      <c r="I133" s="4">
        <v>0.7088333</v>
      </c>
      <c r="J133" s="4" t="s">
        <v>15</v>
      </c>
      <c r="K133" s="4" t="s">
        <v>15</v>
      </c>
      <c r="L133" s="4" t="s">
        <v>15</v>
      </c>
      <c r="M133" s="4"/>
    </row>
    <row r="134" spans="1:13" x14ac:dyDescent="0.25">
      <c r="A134" s="4">
        <v>341</v>
      </c>
      <c r="B134" s="4">
        <v>1</v>
      </c>
      <c r="C134" s="4">
        <v>10</v>
      </c>
      <c r="D134" s="4">
        <v>-8682.6129999999994</v>
      </c>
      <c r="E134" s="4">
        <v>292.4144</v>
      </c>
      <c r="F134" s="4">
        <v>1.6728540000000001</v>
      </c>
      <c r="G134" s="4">
        <v>2.2093790000000002</v>
      </c>
      <c r="H134" s="4">
        <v>6.4210240000000001</v>
      </c>
      <c r="I134" s="4">
        <v>0.67313520000000004</v>
      </c>
      <c r="J134" s="4" t="s">
        <v>13</v>
      </c>
      <c r="K134" s="4" t="s">
        <v>13</v>
      </c>
      <c r="L134" s="4" t="s">
        <v>13</v>
      </c>
      <c r="M134" s="4"/>
    </row>
    <row r="135" spans="1:13" x14ac:dyDescent="0.25">
      <c r="A135" s="4">
        <v>402</v>
      </c>
      <c r="B135" s="4">
        <v>25</v>
      </c>
      <c r="C135" s="4">
        <v>11</v>
      </c>
      <c r="D135" s="4">
        <v>-11262.58</v>
      </c>
      <c r="E135" s="4">
        <v>2802.1689999999999</v>
      </c>
      <c r="F135" s="4">
        <v>0.89037029999999995</v>
      </c>
      <c r="G135" s="4">
        <v>0.55711080000000002</v>
      </c>
      <c r="H135" s="4">
        <v>3.0724640000000001</v>
      </c>
      <c r="I135" s="4">
        <v>0.74132509999999996</v>
      </c>
      <c r="J135" s="4" t="s">
        <v>27</v>
      </c>
      <c r="K135" s="4" t="s">
        <v>26</v>
      </c>
      <c r="L135" s="4" t="s">
        <v>26</v>
      </c>
      <c r="M135" s="4" t="s">
        <v>28</v>
      </c>
    </row>
    <row r="136" spans="1:13" x14ac:dyDescent="0.25">
      <c r="A136" s="12">
        <v>4</v>
      </c>
      <c r="B136" s="12">
        <v>4</v>
      </c>
      <c r="C136" s="13">
        <v>1</v>
      </c>
      <c r="D136" s="12">
        <v>-11113.470703125</v>
      </c>
      <c r="E136" s="12">
        <v>2714.93237304688</v>
      </c>
      <c r="F136" s="13" t="s">
        <v>34</v>
      </c>
      <c r="G136" s="13" t="s">
        <v>34</v>
      </c>
      <c r="H136" s="13" t="s">
        <v>34</v>
      </c>
      <c r="I136" s="13" t="s">
        <v>34</v>
      </c>
      <c r="J136" s="13" t="s">
        <v>27</v>
      </c>
      <c r="K136" s="13" t="s">
        <v>26</v>
      </c>
      <c r="L136" s="13" t="s">
        <v>26</v>
      </c>
      <c r="M136" s="13" t="s">
        <v>28</v>
      </c>
    </row>
    <row r="137" spans="1:13" x14ac:dyDescent="0.25">
      <c r="A137" s="12">
        <v>8</v>
      </c>
      <c r="B137" s="12">
        <v>8</v>
      </c>
      <c r="C137" s="13">
        <v>1</v>
      </c>
      <c r="D137" s="12">
        <v>-11159.00390625</v>
      </c>
      <c r="E137" s="12">
        <v>2727.82104492188</v>
      </c>
      <c r="F137" s="13" t="s">
        <v>34</v>
      </c>
      <c r="G137" s="13" t="s">
        <v>34</v>
      </c>
      <c r="H137" s="13" t="s">
        <v>34</v>
      </c>
      <c r="I137" s="13" t="s">
        <v>34</v>
      </c>
      <c r="J137" s="13" t="s">
        <v>31</v>
      </c>
      <c r="K137" s="13" t="s">
        <v>26</v>
      </c>
      <c r="L137" s="13" t="s">
        <v>31</v>
      </c>
      <c r="M137" s="13" t="s">
        <v>28</v>
      </c>
    </row>
    <row r="138" spans="1:13" x14ac:dyDescent="0.25">
      <c r="A138" s="12">
        <v>19</v>
      </c>
      <c r="B138" s="12">
        <v>19</v>
      </c>
      <c r="C138" s="13">
        <v>1</v>
      </c>
      <c r="D138" s="12">
        <v>-11100.455078125</v>
      </c>
      <c r="E138" s="12">
        <v>2781.19580078125</v>
      </c>
      <c r="F138" s="13" t="s">
        <v>34</v>
      </c>
      <c r="G138" s="13" t="s">
        <v>34</v>
      </c>
      <c r="H138" s="13" t="s">
        <v>34</v>
      </c>
      <c r="I138" s="13" t="s">
        <v>34</v>
      </c>
      <c r="J138" s="13" t="s">
        <v>31</v>
      </c>
      <c r="K138" s="13" t="s">
        <v>26</v>
      </c>
      <c r="L138" s="13" t="s">
        <v>31</v>
      </c>
      <c r="M138" s="13" t="s">
        <v>28</v>
      </c>
    </row>
    <row r="139" spans="1:13" x14ac:dyDescent="0.25">
      <c r="A139" s="12">
        <v>35</v>
      </c>
      <c r="B139" s="12">
        <v>11</v>
      </c>
      <c r="C139" s="12" t="s">
        <v>32</v>
      </c>
      <c r="D139" s="12">
        <v>-10955.33</v>
      </c>
      <c r="E139" s="12">
        <v>2694.5340000000001</v>
      </c>
      <c r="F139" s="12">
        <v>3.958202</v>
      </c>
      <c r="G139" s="12">
        <v>12.21561</v>
      </c>
      <c r="H139" s="12">
        <v>13.509829999999999</v>
      </c>
      <c r="I139" s="12">
        <v>0.84083669999999999</v>
      </c>
      <c r="J139" s="13" t="s">
        <v>31</v>
      </c>
      <c r="K139" s="13" t="s">
        <v>26</v>
      </c>
      <c r="L139" s="13" t="s">
        <v>31</v>
      </c>
      <c r="M139" s="13" t="s">
        <v>38</v>
      </c>
    </row>
    <row r="140" spans="1:13" ht="30" x14ac:dyDescent="0.25">
      <c r="A140" s="12">
        <v>41</v>
      </c>
      <c r="B140" s="12">
        <v>17</v>
      </c>
      <c r="C140" s="12" t="s">
        <v>32</v>
      </c>
      <c r="D140" s="12">
        <v>-10901.09</v>
      </c>
      <c r="E140" s="12">
        <v>2726.1689999999999</v>
      </c>
      <c r="F140" s="12">
        <v>3.6484519999999998</v>
      </c>
      <c r="G140" s="12">
        <v>10.66644</v>
      </c>
      <c r="H140" s="12">
        <v>14.017160000000001</v>
      </c>
      <c r="I140" s="12">
        <v>0.6820176</v>
      </c>
      <c r="J140" s="13" t="s">
        <v>25</v>
      </c>
      <c r="K140" s="13" t="s">
        <v>26</v>
      </c>
      <c r="L140" s="13" t="s">
        <v>25</v>
      </c>
      <c r="M140" s="13" t="s">
        <v>37</v>
      </c>
    </row>
    <row r="141" spans="1:13" x14ac:dyDescent="0.25">
      <c r="A141" s="12">
        <v>42</v>
      </c>
      <c r="B141" s="12">
        <v>18</v>
      </c>
      <c r="C141" s="12" t="s">
        <v>32</v>
      </c>
      <c r="D141" s="12">
        <v>-10945.78</v>
      </c>
      <c r="E141" s="12">
        <v>2733.665</v>
      </c>
      <c r="F141" s="12">
        <v>5.9534649999999996</v>
      </c>
      <c r="G141" s="12">
        <v>27.32639</v>
      </c>
      <c r="H141" s="12">
        <v>21.016500000000001</v>
      </c>
      <c r="I141" s="12">
        <v>0.77724519999999997</v>
      </c>
      <c r="J141" s="13" t="s">
        <v>31</v>
      </c>
      <c r="K141" s="13" t="s">
        <v>26</v>
      </c>
      <c r="L141" s="13" t="s">
        <v>31</v>
      </c>
      <c r="M141" s="13" t="s">
        <v>28</v>
      </c>
    </row>
    <row r="142" spans="1:13" x14ac:dyDescent="0.25">
      <c r="A142" s="12">
        <v>50</v>
      </c>
      <c r="B142" s="12">
        <v>1</v>
      </c>
      <c r="C142" s="12">
        <v>3</v>
      </c>
      <c r="D142" s="12">
        <v>-10829.7</v>
      </c>
      <c r="E142" s="12">
        <v>2649.8380000000002</v>
      </c>
      <c r="F142" s="12">
        <v>2.6928369999999999</v>
      </c>
      <c r="G142" s="12">
        <v>5.5702499999999997</v>
      </c>
      <c r="H142" s="12">
        <v>8.8392490000000006</v>
      </c>
      <c r="I142" s="12">
        <v>0.89565410000000001</v>
      </c>
      <c r="J142" s="13" t="s">
        <v>27</v>
      </c>
      <c r="K142" s="13" t="s">
        <v>26</v>
      </c>
      <c r="L142" s="13" t="s">
        <v>27</v>
      </c>
      <c r="M142" s="13" t="s">
        <v>28</v>
      </c>
    </row>
    <row r="143" spans="1:13" x14ac:dyDescent="0.25">
      <c r="A143" s="12">
        <v>61</v>
      </c>
      <c r="B143" s="12">
        <v>12</v>
      </c>
      <c r="C143" s="12">
        <v>3</v>
      </c>
      <c r="D143" s="12">
        <v>-10857.78</v>
      </c>
      <c r="E143" s="12">
        <v>2700.643</v>
      </c>
      <c r="F143" s="12">
        <v>5.8151929999999998</v>
      </c>
      <c r="G143" s="12">
        <v>25.337019999999999</v>
      </c>
      <c r="H143" s="12">
        <v>21.479179999999999</v>
      </c>
      <c r="I143" s="12">
        <v>0.68994800000000001</v>
      </c>
      <c r="J143" s="13" t="s">
        <v>14</v>
      </c>
      <c r="K143" s="13" t="s">
        <v>26</v>
      </c>
      <c r="L143" s="13" t="s">
        <v>14</v>
      </c>
      <c r="M143" s="13" t="s">
        <v>28</v>
      </c>
    </row>
    <row r="144" spans="1:13" x14ac:dyDescent="0.25">
      <c r="A144" s="12">
        <v>83</v>
      </c>
      <c r="B144" s="12">
        <v>8</v>
      </c>
      <c r="C144" s="12" t="s">
        <v>33</v>
      </c>
      <c r="D144" s="12">
        <v>-11536.78</v>
      </c>
      <c r="E144" s="12">
        <v>-2244.7179999999998</v>
      </c>
      <c r="F144" s="12">
        <v>3.5764640000000001</v>
      </c>
      <c r="G144" s="12">
        <v>9.17652</v>
      </c>
      <c r="H144" s="12">
        <v>11.980180000000001</v>
      </c>
      <c r="I144" s="12">
        <v>0.80324450000000003</v>
      </c>
      <c r="J144" s="13" t="s">
        <v>31</v>
      </c>
      <c r="K144" s="13" t="s">
        <v>26</v>
      </c>
      <c r="L144" s="13" t="s">
        <v>31</v>
      </c>
      <c r="M144" s="13" t="s">
        <v>28</v>
      </c>
    </row>
    <row r="145" spans="1:13" x14ac:dyDescent="0.25">
      <c r="A145" s="12">
        <v>86</v>
      </c>
      <c r="B145" s="12">
        <v>11</v>
      </c>
      <c r="C145" s="12" t="s">
        <v>33</v>
      </c>
      <c r="D145" s="12">
        <v>-11617.6</v>
      </c>
      <c r="E145" s="12">
        <v>-2239.0479999999998</v>
      </c>
      <c r="F145" s="12">
        <v>2.882142</v>
      </c>
      <c r="G145" s="12">
        <v>6.4760499999999999</v>
      </c>
      <c r="H145" s="12">
        <v>9.9562729999999995</v>
      </c>
      <c r="I145" s="12">
        <v>0.82075390000000004</v>
      </c>
      <c r="J145" s="13" t="s">
        <v>31</v>
      </c>
      <c r="K145" s="13" t="s">
        <v>26</v>
      </c>
      <c r="L145" s="13" t="s">
        <v>31</v>
      </c>
      <c r="M145" s="13" t="s">
        <v>28</v>
      </c>
    </row>
    <row r="146" spans="1:13" x14ac:dyDescent="0.25">
      <c r="A146" s="12">
        <v>140</v>
      </c>
      <c r="B146" s="12">
        <v>10</v>
      </c>
      <c r="C146" s="12">
        <v>5</v>
      </c>
      <c r="D146" s="12">
        <v>-11399.61</v>
      </c>
      <c r="E146" s="12">
        <v>-2240.8229999999999</v>
      </c>
      <c r="F146" s="12">
        <v>3.553118</v>
      </c>
      <c r="G146" s="12">
        <v>9.5828609999999994</v>
      </c>
      <c r="H146" s="12">
        <v>11.93554</v>
      </c>
      <c r="I146" s="12">
        <v>0.8450993</v>
      </c>
      <c r="J146" s="13" t="s">
        <v>31</v>
      </c>
      <c r="K146" s="13" t="s">
        <v>26</v>
      </c>
      <c r="L146" s="13" t="s">
        <v>31</v>
      </c>
      <c r="M146" s="13" t="s">
        <v>28</v>
      </c>
    </row>
    <row r="147" spans="1:13" ht="30" x14ac:dyDescent="0.25">
      <c r="A147" s="12">
        <v>142</v>
      </c>
      <c r="B147" s="12">
        <v>12</v>
      </c>
      <c r="C147" s="12">
        <v>5</v>
      </c>
      <c r="D147" s="12">
        <v>-11447.08</v>
      </c>
      <c r="E147" s="12">
        <v>-2238.73</v>
      </c>
      <c r="F147" s="12">
        <v>3.022694</v>
      </c>
      <c r="G147" s="12">
        <v>7.1702149999999998</v>
      </c>
      <c r="H147" s="12">
        <v>10.432040000000001</v>
      </c>
      <c r="I147" s="12">
        <v>0.82773319999999995</v>
      </c>
      <c r="J147" s="13" t="s">
        <v>25</v>
      </c>
      <c r="K147" s="13" t="s">
        <v>26</v>
      </c>
      <c r="L147" s="13" t="s">
        <v>25</v>
      </c>
      <c r="M147" s="13" t="s">
        <v>39</v>
      </c>
    </row>
    <row r="148" spans="1:13" x14ac:dyDescent="0.25">
      <c r="A148" s="12">
        <v>146</v>
      </c>
      <c r="B148" s="12">
        <v>16</v>
      </c>
      <c r="C148" s="12">
        <v>5</v>
      </c>
      <c r="D148" s="12">
        <v>-11431.18</v>
      </c>
      <c r="E148" s="12">
        <v>-2235.1759999999999</v>
      </c>
      <c r="F148" s="12">
        <v>3.7307980000000001</v>
      </c>
      <c r="G148" s="12">
        <v>10.818809999999999</v>
      </c>
      <c r="H148" s="12">
        <v>12.608370000000001</v>
      </c>
      <c r="I148" s="12">
        <v>0.85498479999999999</v>
      </c>
      <c r="J148" s="13" t="s">
        <v>31</v>
      </c>
      <c r="K148" s="13" t="s">
        <v>26</v>
      </c>
      <c r="L148" s="13" t="s">
        <v>31</v>
      </c>
      <c r="M148" s="13" t="s">
        <v>28</v>
      </c>
    </row>
    <row r="149" spans="1:13" x14ac:dyDescent="0.25">
      <c r="A149" s="12">
        <v>149</v>
      </c>
      <c r="B149" s="12">
        <v>19</v>
      </c>
      <c r="C149" s="12">
        <v>5</v>
      </c>
      <c r="D149" s="12">
        <v>-11397.41</v>
      </c>
      <c r="E149" s="12">
        <v>-2218.0349999999999</v>
      </c>
      <c r="F149" s="12">
        <v>1.7083930000000001</v>
      </c>
      <c r="G149" s="12">
        <v>2.192545</v>
      </c>
      <c r="H149" s="12">
        <v>5.6221069999999997</v>
      </c>
      <c r="I149" s="12">
        <v>0.87145850000000002</v>
      </c>
      <c r="J149" s="13" t="s">
        <v>31</v>
      </c>
      <c r="K149" s="13" t="s">
        <v>31</v>
      </c>
      <c r="L149" s="13" t="s">
        <v>31</v>
      </c>
      <c r="M149" s="13" t="s">
        <v>28</v>
      </c>
    </row>
    <row r="150" spans="1:13" ht="30" x14ac:dyDescent="0.25">
      <c r="A150" s="12">
        <v>150</v>
      </c>
      <c r="B150" s="12">
        <v>20</v>
      </c>
      <c r="C150" s="12">
        <v>5</v>
      </c>
      <c r="D150" s="12">
        <v>-11392.55</v>
      </c>
      <c r="E150" s="12">
        <v>-2219.52</v>
      </c>
      <c r="F150" s="12">
        <v>5.024044</v>
      </c>
      <c r="G150" s="12">
        <v>20.113849999999999</v>
      </c>
      <c r="H150" s="12">
        <v>18.154260000000001</v>
      </c>
      <c r="I150" s="12">
        <v>0.76671590000000001</v>
      </c>
      <c r="J150" s="13" t="s">
        <v>25</v>
      </c>
      <c r="K150" s="13" t="s">
        <v>26</v>
      </c>
      <c r="L150" s="13" t="s">
        <v>25</v>
      </c>
      <c r="M150" s="13" t="s">
        <v>37</v>
      </c>
    </row>
    <row r="151" spans="1:13" ht="30" x14ac:dyDescent="0.25">
      <c r="A151" s="12">
        <v>157</v>
      </c>
      <c r="B151" s="12">
        <v>27</v>
      </c>
      <c r="C151" s="12">
        <v>5</v>
      </c>
      <c r="D151" s="12">
        <v>-11453.79</v>
      </c>
      <c r="E151" s="12">
        <v>-2213.6239999999998</v>
      </c>
      <c r="F151" s="12">
        <v>5.9249470000000004</v>
      </c>
      <c r="G151" s="12">
        <v>26.95391</v>
      </c>
      <c r="H151" s="12">
        <v>21.40297</v>
      </c>
      <c r="I151" s="12">
        <v>0.73921380000000003</v>
      </c>
      <c r="J151" s="13" t="s">
        <v>25</v>
      </c>
      <c r="K151" s="13" t="s">
        <v>26</v>
      </c>
      <c r="L151" s="13" t="s">
        <v>25</v>
      </c>
      <c r="M151" s="13" t="s">
        <v>37</v>
      </c>
    </row>
    <row r="152" spans="1:13" x14ac:dyDescent="0.25">
      <c r="A152" s="12">
        <v>170</v>
      </c>
      <c r="B152" s="12">
        <v>40</v>
      </c>
      <c r="C152" s="12">
        <v>5</v>
      </c>
      <c r="D152" s="12">
        <v>-11531.01</v>
      </c>
      <c r="E152" s="12">
        <v>-2164.1039999999998</v>
      </c>
      <c r="F152" s="12">
        <v>3.5071560000000002</v>
      </c>
      <c r="G152" s="12">
        <v>8.9648850000000007</v>
      </c>
      <c r="H152" s="12">
        <v>12.36124</v>
      </c>
      <c r="I152" s="12">
        <v>0.73708430000000003</v>
      </c>
      <c r="J152" s="13" t="s">
        <v>31</v>
      </c>
      <c r="K152" s="13" t="s">
        <v>26</v>
      </c>
      <c r="L152" s="13" t="s">
        <v>31</v>
      </c>
      <c r="M152" s="13" t="s">
        <v>28</v>
      </c>
    </row>
    <row r="153" spans="1:13" x14ac:dyDescent="0.25">
      <c r="A153" s="12">
        <v>185</v>
      </c>
      <c r="B153" s="12">
        <v>55</v>
      </c>
      <c r="C153" s="12">
        <v>5</v>
      </c>
      <c r="D153" s="12">
        <v>-11382.48</v>
      </c>
      <c r="E153" s="12">
        <v>-2139.7159999999999</v>
      </c>
      <c r="F153" s="12">
        <v>4.1534769999999996</v>
      </c>
      <c r="G153" s="12">
        <v>11.39446</v>
      </c>
      <c r="H153" s="12">
        <v>16.080290000000002</v>
      </c>
      <c r="I153" s="12">
        <v>0.55360779999999998</v>
      </c>
      <c r="J153" s="13" t="s">
        <v>25</v>
      </c>
      <c r="K153" s="13" t="s">
        <v>26</v>
      </c>
      <c r="L153" s="13" t="s">
        <v>25</v>
      </c>
      <c r="M153" s="13" t="s">
        <v>36</v>
      </c>
    </row>
    <row r="154" spans="1:13" x14ac:dyDescent="0.25">
      <c r="A154" s="12">
        <v>188</v>
      </c>
      <c r="B154" s="12">
        <v>3</v>
      </c>
      <c r="C154" s="12">
        <v>6</v>
      </c>
      <c r="D154" s="12">
        <v>-11310.67</v>
      </c>
      <c r="E154" s="12">
        <v>-2276.297</v>
      </c>
      <c r="F154" s="12">
        <v>1.6944710000000001</v>
      </c>
      <c r="G154" s="12">
        <v>2.107891</v>
      </c>
      <c r="H154" s="12">
        <v>5.7298869999999997</v>
      </c>
      <c r="I154" s="12">
        <v>0.80658929999999995</v>
      </c>
      <c r="J154" s="13" t="s">
        <v>31</v>
      </c>
      <c r="K154" s="13" t="s">
        <v>26</v>
      </c>
      <c r="L154" s="13" t="s">
        <v>31</v>
      </c>
      <c r="M154" s="13" t="s">
        <v>28</v>
      </c>
    </row>
    <row r="155" spans="1:13" x14ac:dyDescent="0.25">
      <c r="A155" s="12">
        <v>191</v>
      </c>
      <c r="B155" s="12">
        <v>6</v>
      </c>
      <c r="C155" s="12">
        <v>6</v>
      </c>
      <c r="D155" s="12">
        <v>-11298.7</v>
      </c>
      <c r="E155" s="12">
        <v>-2274.364</v>
      </c>
      <c r="F155" s="12">
        <v>3.2714910000000001</v>
      </c>
      <c r="G155" s="12">
        <v>8.3384440000000009</v>
      </c>
      <c r="H155" s="12">
        <v>11.060219999999999</v>
      </c>
      <c r="I155" s="12">
        <v>0.85635470000000002</v>
      </c>
      <c r="J155" s="13" t="s">
        <v>31</v>
      </c>
      <c r="K155" s="13" t="s">
        <v>26</v>
      </c>
      <c r="L155" s="13" t="s">
        <v>31</v>
      </c>
      <c r="M155" s="13" t="s">
        <v>28</v>
      </c>
    </row>
    <row r="156" spans="1:13" x14ac:dyDescent="0.25">
      <c r="A156" s="12">
        <v>194</v>
      </c>
      <c r="B156" s="12">
        <v>9</v>
      </c>
      <c r="C156" s="12">
        <v>6</v>
      </c>
      <c r="D156" s="12">
        <v>-11287.12</v>
      </c>
      <c r="E156" s="12">
        <v>-2267.0830000000001</v>
      </c>
      <c r="F156" s="12">
        <v>5.0561610000000003</v>
      </c>
      <c r="G156" s="12">
        <v>19.199580000000001</v>
      </c>
      <c r="H156" s="12">
        <v>17.158090000000001</v>
      </c>
      <c r="I156" s="12">
        <v>0.81931370000000003</v>
      </c>
      <c r="J156" s="13" t="s">
        <v>31</v>
      </c>
      <c r="K156" s="13" t="s">
        <v>31</v>
      </c>
      <c r="L156" s="13" t="s">
        <v>31</v>
      </c>
      <c r="M156" s="13"/>
    </row>
    <row r="157" spans="1:13" x14ac:dyDescent="0.25">
      <c r="A157" s="12">
        <v>196</v>
      </c>
      <c r="B157" s="12">
        <v>11</v>
      </c>
      <c r="C157" s="12">
        <v>6</v>
      </c>
      <c r="D157" s="12">
        <v>-11347.97</v>
      </c>
      <c r="E157" s="12">
        <v>-2263.261</v>
      </c>
      <c r="F157" s="12">
        <v>2.4409230000000002</v>
      </c>
      <c r="G157" s="12">
        <v>4.6221220000000001</v>
      </c>
      <c r="H157" s="12">
        <v>8.534402</v>
      </c>
      <c r="I157" s="12">
        <v>0.79724459999999997</v>
      </c>
      <c r="J157" s="13" t="s">
        <v>31</v>
      </c>
      <c r="K157" s="13" t="s">
        <v>26</v>
      </c>
      <c r="L157" s="13" t="s">
        <v>31</v>
      </c>
      <c r="M157" s="13" t="s">
        <v>28</v>
      </c>
    </row>
    <row r="158" spans="1:13" x14ac:dyDescent="0.25">
      <c r="A158" s="12">
        <v>200</v>
      </c>
      <c r="B158" s="12">
        <v>15</v>
      </c>
      <c r="C158" s="12">
        <v>6</v>
      </c>
      <c r="D158" s="12">
        <v>-11263.57</v>
      </c>
      <c r="E158" s="12">
        <v>-2259.2170000000001</v>
      </c>
      <c r="F158" s="12">
        <v>2.503933</v>
      </c>
      <c r="G158" s="12">
        <v>4.8083619999999998</v>
      </c>
      <c r="H158" s="12">
        <v>8.3188429999999993</v>
      </c>
      <c r="I158" s="12">
        <v>0.87290639999999997</v>
      </c>
      <c r="J158" s="13" t="s">
        <v>31</v>
      </c>
      <c r="K158" s="13" t="s">
        <v>26</v>
      </c>
      <c r="L158" s="13" t="s">
        <v>31</v>
      </c>
      <c r="M158" s="13" t="s">
        <v>28</v>
      </c>
    </row>
    <row r="159" spans="1:13" x14ac:dyDescent="0.25">
      <c r="A159" s="12">
        <v>201</v>
      </c>
      <c r="B159" s="12">
        <v>16</v>
      </c>
      <c r="C159" s="12">
        <v>6</v>
      </c>
      <c r="D159" s="12">
        <v>-11293.13</v>
      </c>
      <c r="E159" s="12">
        <v>-2259.643</v>
      </c>
      <c r="F159" s="12">
        <v>3.4979629999999999</v>
      </c>
      <c r="G159" s="12">
        <v>8.9394880000000008</v>
      </c>
      <c r="H159" s="12">
        <v>11.459770000000001</v>
      </c>
      <c r="I159" s="12">
        <v>0.85517900000000002</v>
      </c>
      <c r="J159" s="13" t="s">
        <v>31</v>
      </c>
      <c r="K159" s="13" t="s">
        <v>26</v>
      </c>
      <c r="L159" s="13" t="s">
        <v>31</v>
      </c>
      <c r="M159" s="13" t="s">
        <v>28</v>
      </c>
    </row>
    <row r="160" spans="1:13" x14ac:dyDescent="0.25">
      <c r="A160" s="12">
        <v>209</v>
      </c>
      <c r="B160" s="12">
        <v>24</v>
      </c>
      <c r="C160" s="12">
        <v>6</v>
      </c>
      <c r="D160" s="12">
        <v>-11204.22</v>
      </c>
      <c r="E160" s="12">
        <v>-2247.2530000000002</v>
      </c>
      <c r="F160" s="12">
        <v>2.0497589999999999</v>
      </c>
      <c r="G160" s="12">
        <v>3.3269120000000001</v>
      </c>
      <c r="H160" s="12">
        <v>6.9862590000000004</v>
      </c>
      <c r="I160" s="12">
        <v>0.8563442</v>
      </c>
      <c r="J160" s="13" t="s">
        <v>31</v>
      </c>
      <c r="K160" s="13" t="s">
        <v>31</v>
      </c>
      <c r="L160" s="13" t="s">
        <v>31</v>
      </c>
      <c r="M160" s="13" t="s">
        <v>28</v>
      </c>
    </row>
    <row r="161" spans="1:13" x14ac:dyDescent="0.25">
      <c r="A161" s="12">
        <v>220</v>
      </c>
      <c r="B161" s="12">
        <v>35</v>
      </c>
      <c r="C161" s="12">
        <v>6</v>
      </c>
      <c r="D161" s="12">
        <v>-11205.25</v>
      </c>
      <c r="E161" s="12">
        <v>-2226.6570000000002</v>
      </c>
      <c r="F161" s="12">
        <v>2.1383450000000002</v>
      </c>
      <c r="G161" s="12">
        <v>3.673994</v>
      </c>
      <c r="H161" s="12">
        <v>7.3226740000000001</v>
      </c>
      <c r="I161" s="12">
        <v>0.86078659999999996</v>
      </c>
      <c r="J161" s="13" t="s">
        <v>31</v>
      </c>
      <c r="K161" s="13" t="s">
        <v>27</v>
      </c>
      <c r="L161" s="13" t="s">
        <v>31</v>
      </c>
      <c r="M161" s="12"/>
    </row>
    <row r="162" spans="1:13" x14ac:dyDescent="0.25">
      <c r="A162" s="12">
        <v>225</v>
      </c>
      <c r="B162" s="12">
        <v>40</v>
      </c>
      <c r="C162" s="12">
        <v>6</v>
      </c>
      <c r="D162" s="12">
        <v>-11332.63</v>
      </c>
      <c r="E162" s="12">
        <v>-2219.049</v>
      </c>
      <c r="F162" s="12">
        <v>2.5324559999999998</v>
      </c>
      <c r="G162" s="12">
        <v>5.1554440000000001</v>
      </c>
      <c r="H162" s="12">
        <v>8.6552570000000006</v>
      </c>
      <c r="I162" s="12">
        <v>0.86457459999999997</v>
      </c>
      <c r="J162" s="13" t="s">
        <v>31</v>
      </c>
      <c r="K162" s="13" t="s">
        <v>26</v>
      </c>
      <c r="L162" s="13" t="s">
        <v>31</v>
      </c>
      <c r="M162" s="13" t="s">
        <v>28</v>
      </c>
    </row>
    <row r="163" spans="1:13" ht="30" x14ac:dyDescent="0.25">
      <c r="A163" s="12">
        <v>227</v>
      </c>
      <c r="B163" s="12">
        <v>42</v>
      </c>
      <c r="C163" s="12">
        <v>6</v>
      </c>
      <c r="D163" s="12">
        <v>-11208.33</v>
      </c>
      <c r="E163" s="12">
        <v>-2216.9009999999998</v>
      </c>
      <c r="F163" s="12">
        <v>3.2814890000000001</v>
      </c>
      <c r="G163" s="12">
        <v>8.3638399999999997</v>
      </c>
      <c r="H163" s="12">
        <v>11.244210000000001</v>
      </c>
      <c r="I163" s="12">
        <v>0.83108199999999999</v>
      </c>
      <c r="J163" s="13" t="s">
        <v>25</v>
      </c>
      <c r="K163" s="13" t="s">
        <v>26</v>
      </c>
      <c r="L163" s="13" t="s">
        <v>25</v>
      </c>
      <c r="M163" s="13" t="s">
        <v>40</v>
      </c>
    </row>
  </sheetData>
  <mergeCells count="4">
    <mergeCell ref="P8:Q9"/>
    <mergeCell ref="R8:R9"/>
    <mergeCell ref="S8:S9"/>
    <mergeCell ref="T8:T9"/>
  </mergeCells>
  <conditionalFormatting sqref="A1:XFD91 A164:XFD1048576 N92:XFD163">
    <cfRule type="expression" dxfId="3" priority="4">
      <formula>OR(CELL(“col”)=COLUMN(),CELL(“row”)=ROW())</formula>
    </cfRule>
  </conditionalFormatting>
  <conditionalFormatting sqref="A92:M92 A93:I125 D126:I135 A126:A135 B129:C135 J93:M135">
    <cfRule type="expression" dxfId="2" priority="3">
      <formula>OR(CELL(“col”)=COLUMN(),CELL(“row”)=ROW())</formula>
    </cfRule>
  </conditionalFormatting>
  <conditionalFormatting sqref="B126:C128">
    <cfRule type="expression" dxfId="1" priority="2">
      <formula>OR(CELL(“col”)=COLUMN(),CELL(“row”)=ROW())</formula>
    </cfRule>
  </conditionalFormatting>
  <conditionalFormatting sqref="C136:I138 H162:I163 E139:I153 F154:I161 E154:E163 B139:D163 J136:M163">
    <cfRule type="expression" dxfId="0" priority="1">
      <formula>OR(CELL(“col”)=COLUMN(),CELL(“row”)=ROW())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MPs Only</vt:lpstr>
      <vt:lpstr>MPs + Standards</vt:lpstr>
      <vt:lpstr>MPs + Ambient</vt:lpstr>
      <vt:lpstr>All Samples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2024-03-20T19:48:42Z</dcterms:created>
  <dcterms:modified xsi:type="dcterms:W3CDTF">2024-12-06T19:14:07Z</dcterms:modified>
</cp:coreProperties>
</file>