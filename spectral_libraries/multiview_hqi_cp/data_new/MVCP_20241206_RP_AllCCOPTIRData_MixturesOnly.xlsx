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University of Michigan Dropbox\LSA-M4AM-Project\MVCP - Multivariate Conformal Prediction\"/>
    </mc:Choice>
  </mc:AlternateContent>
  <xr:revisionPtr revIDLastSave="0" documentId="13_ncr:1_{D13F3E83-0C88-4822-B67B-EADF983A9C0E}" xr6:coauthVersionLast="47" xr6:coauthVersionMax="47" xr10:uidLastSave="{00000000-0000-0000-0000-000000000000}"/>
  <bookViews>
    <workbookView xWindow="-120" yWindow="-120" windowWidth="29040" windowHeight="15720" activeTab="3" xr2:uid="{D5E67EB1-0353-4D7C-BDA3-F733A4513B96}"/>
  </bookViews>
  <sheets>
    <sheet name="MPs Only" sheetId="4" r:id="rId1"/>
    <sheet name="MPs + Standards" sheetId="5" r:id="rId2"/>
    <sheet name="MPs + Ambient" sheetId="6" r:id="rId3"/>
    <sheet name="All Sample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7" l="1"/>
  <c r="S7" i="7"/>
  <c r="R7" i="7"/>
  <c r="T6" i="7"/>
  <c r="S6" i="7"/>
  <c r="R6" i="7"/>
  <c r="T5" i="7"/>
  <c r="S5" i="7"/>
  <c r="R5" i="7"/>
  <c r="T4" i="7"/>
  <c r="S4" i="7"/>
  <c r="R4" i="7"/>
  <c r="T3" i="7"/>
  <c r="S3" i="7"/>
  <c r="R3" i="7"/>
  <c r="T2" i="7"/>
  <c r="S2" i="7"/>
  <c r="R2" i="7"/>
  <c r="U10" i="5"/>
  <c r="T10" i="5"/>
  <c r="S10" i="5"/>
  <c r="U9" i="5"/>
  <c r="T9" i="5"/>
  <c r="S9" i="5"/>
  <c r="U8" i="5"/>
  <c r="T8" i="5"/>
  <c r="S8" i="5"/>
  <c r="U7" i="5"/>
  <c r="T7" i="5"/>
  <c r="S7" i="5"/>
  <c r="U6" i="5"/>
  <c r="T6" i="5"/>
  <c r="S6" i="5"/>
  <c r="U5" i="5"/>
  <c r="T5" i="5"/>
  <c r="S5" i="5"/>
  <c r="U4" i="5"/>
  <c r="T4" i="5"/>
  <c r="S4" i="5"/>
  <c r="U3" i="5"/>
  <c r="T3" i="5"/>
  <c r="S3" i="5"/>
  <c r="U2" i="5"/>
  <c r="T2" i="5"/>
  <c r="S2" i="5"/>
  <c r="T7" i="4"/>
  <c r="S7" i="4"/>
  <c r="R7" i="4"/>
  <c r="T6" i="4"/>
  <c r="S6" i="4"/>
  <c r="R6" i="4"/>
  <c r="T5" i="4"/>
  <c r="S5" i="4"/>
  <c r="R5" i="4"/>
  <c r="T4" i="4"/>
  <c r="S4" i="4"/>
  <c r="R4" i="4"/>
  <c r="T3" i="4"/>
  <c r="S3" i="4"/>
  <c r="R3" i="4"/>
  <c r="T2" i="4"/>
  <c r="S2" i="4"/>
  <c r="R2" i="4"/>
  <c r="T8" i="6"/>
  <c r="S8" i="6"/>
  <c r="R8" i="6"/>
  <c r="T7" i="6"/>
  <c r="S7" i="6"/>
  <c r="R7" i="6"/>
  <c r="T6" i="6"/>
  <c r="S6" i="6"/>
  <c r="R6" i="6"/>
  <c r="T5" i="6"/>
  <c r="S5" i="6"/>
  <c r="R5" i="6"/>
  <c r="T4" i="6"/>
  <c r="S4" i="6"/>
  <c r="R4" i="6"/>
  <c r="T3" i="6"/>
  <c r="S3" i="6"/>
  <c r="R3" i="6"/>
  <c r="T2" i="6"/>
  <c r="S2" i="6"/>
  <c r="R2" i="6"/>
  <c r="R9" i="6" s="1"/>
  <c r="T9" i="6" l="1"/>
  <c r="S9" i="6"/>
  <c r="T11" i="5"/>
  <c r="S11" i="5"/>
  <c r="U11" i="5"/>
  <c r="R8" i="7"/>
  <c r="T8" i="7"/>
  <c r="S8" i="7"/>
  <c r="R8" i="4"/>
  <c r="S8" i="4"/>
  <c r="T8" i="4"/>
</calcChain>
</file>

<file path=xl/sharedStrings.xml><?xml version="1.0" encoding="utf-8"?>
<sst xmlns="http://schemas.openxmlformats.org/spreadsheetml/2006/main" count="1328" uniqueCount="91">
  <si>
    <t>Feature ID</t>
  </si>
  <si>
    <t>X (um)</t>
  </si>
  <si>
    <t>Y (um)</t>
  </si>
  <si>
    <t>Size (um)</t>
  </si>
  <si>
    <t>Area (umÂ²)</t>
  </si>
  <si>
    <t>Perimeter (um)</t>
  </si>
  <si>
    <t>Circularity</t>
  </si>
  <si>
    <t>CC run</t>
  </si>
  <si>
    <t>Overall ID</t>
  </si>
  <si>
    <t>Particle Type</t>
  </si>
  <si>
    <t>Manual PTIR Count</t>
  </si>
  <si>
    <t>Manual Raman Count</t>
  </si>
  <si>
    <t>Manual Overall Count</t>
  </si>
  <si>
    <t>LDPE</t>
  </si>
  <si>
    <t>PSL</t>
  </si>
  <si>
    <t>PP</t>
  </si>
  <si>
    <t>Total particles</t>
  </si>
  <si>
    <t>Manual PTIR</t>
  </si>
  <si>
    <t>Manual Raman</t>
  </si>
  <si>
    <t>Manual overall</t>
  </si>
  <si>
    <t>Notes</t>
  </si>
  <si>
    <t>UNSORTED</t>
  </si>
  <si>
    <t>MIXTURE</t>
  </si>
  <si>
    <t>LOW SIGNAL</t>
  </si>
  <si>
    <t>Type Abbr.</t>
  </si>
  <si>
    <t>MIX</t>
  </si>
  <si>
    <t>UNS</t>
  </si>
  <si>
    <t>LOW</t>
  </si>
  <si>
    <t>PP AND PSL?</t>
  </si>
  <si>
    <t>AMBIENT</t>
  </si>
  <si>
    <t>AMB</t>
  </si>
  <si>
    <t>2 v2</t>
  </si>
  <si>
    <t>n/a</t>
  </si>
  <si>
    <t>PSL AND LDPE?</t>
  </si>
  <si>
    <t>PSL AND AMB?</t>
  </si>
  <si>
    <t>LDPE AND AMB?</t>
  </si>
  <si>
    <t>PSL AND PP?</t>
  </si>
  <si>
    <t>PSL AND AMB? FLUORESCENCE</t>
  </si>
  <si>
    <t>LDPE AND PSL?</t>
  </si>
  <si>
    <t>AMB AND PSL?</t>
  </si>
  <si>
    <t>LDPE AND AMB? NOT ENOUGH PEAKS IN RAMAN</t>
  </si>
  <si>
    <t>AMB AND LDPE? FLUORESCENCE</t>
  </si>
  <si>
    <t>PP AND AMB? FLUORESCENCE</t>
  </si>
  <si>
    <t xml:space="preserve"> PP AND PSL?</t>
  </si>
  <si>
    <t>FLUORESCENCE, LDPE AND PSL?</t>
  </si>
  <si>
    <t>ODD PEAKS IN RAMAN</t>
  </si>
  <si>
    <t>LDPE AND PP?</t>
  </si>
  <si>
    <t>PP AND LDPE?</t>
  </si>
  <si>
    <t>PSL AND SOMETHING ELSE?</t>
  </si>
  <si>
    <t>PP AND PSL? ODD PEAKS IN PTIR</t>
  </si>
  <si>
    <t xml:space="preserve"> </t>
  </si>
  <si>
    <t>PSL, PP, AND LDPE?</t>
  </si>
  <si>
    <t>PP, PSL, AND LDPE?</t>
  </si>
  <si>
    <t>FLUORESCENCE, MIXTURE?</t>
  </si>
  <si>
    <t>FLUORESCENCE, PSL AND PP?</t>
  </si>
  <si>
    <t>FLUORESCENCE, PSL AND LDPE?</t>
  </si>
  <si>
    <t>AS</t>
  </si>
  <si>
    <t>SCR</t>
  </si>
  <si>
    <t>(NH4)2SO4</t>
  </si>
  <si>
    <t>NaNO3</t>
  </si>
  <si>
    <t>SN</t>
  </si>
  <si>
    <t>PSL AND SOMETHING ELSE? SCR?</t>
  </si>
  <si>
    <t>SUCROSE</t>
  </si>
  <si>
    <t>AS AND LDPE?</t>
  </si>
  <si>
    <t>SCR AND SN?</t>
  </si>
  <si>
    <t>LDPE AND PSL? Other?</t>
  </si>
  <si>
    <t>LDPE AND SOMETHING ELSE? PP AND AS?</t>
  </si>
  <si>
    <t>PSL, AS, AND LDPE?</t>
  </si>
  <si>
    <t>PSL AND SCR?</t>
  </si>
  <si>
    <t>AS AND PSL?</t>
  </si>
  <si>
    <t>AS AND SOMETHING ELSE?</t>
  </si>
  <si>
    <t>SCR AND SOMETHING ELSE? AS OR PP??</t>
  </si>
  <si>
    <t>PSL AND SOMETHING ELSE? AS?</t>
  </si>
  <si>
    <t>PSL AND AS?</t>
  </si>
  <si>
    <t>SCR AND AS?</t>
  </si>
  <si>
    <t>SCR AND PP?</t>
  </si>
  <si>
    <t>AS AND SCR?</t>
  </si>
  <si>
    <t>SN AND SCR?</t>
  </si>
  <si>
    <t>AS AND SN?</t>
  </si>
  <si>
    <t xml:space="preserve"> PSL AND SCR?</t>
  </si>
  <si>
    <t>LDPE AND SCR?</t>
  </si>
  <si>
    <t>LDPE AND AS?</t>
  </si>
  <si>
    <t>FLUORESCENCE, AS AND SCR?</t>
  </si>
  <si>
    <t>PSL AND SN?</t>
  </si>
  <si>
    <t>ODD PEAKS IN PTIR, RAMAN INDICATES MIX OF SCR AND AS</t>
  </si>
  <si>
    <t>NOT ENOUGH IDENTIFIABLE PEAKS IN PTIR, RAMAN INDICATES MIX OF PP AND PSL</t>
  </si>
  <si>
    <t>PP, LDPE, AND AS?</t>
  </si>
  <si>
    <t>PP AND SCR?</t>
  </si>
  <si>
    <t>ODD PEAKS IN PTIR, RAMAN INDICATES MIX OF PSL AND SCR</t>
  </si>
  <si>
    <t>ODD PEAKS IN PTIR, MIX OF SCR AND AS?</t>
  </si>
  <si>
    <t>PP AND 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</si>
</sst>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5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8" borderId="0" xfId="0" applyFont="1" applyFill="1"/>
    <xf numFmtId="0" fontId="0" fillId="9" borderId="0" xfId="0" applyFill="1"/>
    <xf numFmtId="0" fontId="0" fillId="9" borderId="0" xfId="0" applyFill="1" applyAlignment="1">
      <alignment wrapText="1"/>
    </xf>
  </cellXfs>
  <cellStyles count="1">
    <cellStyle name="Normal" xfId="0" builtinId="0"/>
  </cellStyles>
  <dxfs count="11"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  <dxf>
      <font>
        <strike val="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237-05E1-4736-B9CF-7E74309895CD}">
  <dimension ref="A1:T76"/>
  <sheetViews>
    <sheetView topLeftCell="A43" workbookViewId="0">
      <selection activeCell="A2" sqref="A2:M76"/>
    </sheetView>
  </sheetViews>
  <sheetFormatPr defaultRowHeight="15" x14ac:dyDescent="0.25"/>
  <cols>
    <col min="8" max="8" width="10.5703125" customWidth="1"/>
    <col min="9" max="9" width="10.7109375" customWidth="1"/>
    <col min="13" max="13" width="16.8554687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0" s="3" customFormat="1" ht="30" x14ac:dyDescent="0.25">
      <c r="A1" s="9" t="s">
        <v>8</v>
      </c>
      <c r="B1" s="9" t="s">
        <v>0</v>
      </c>
      <c r="C1" s="9" t="s">
        <v>7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17</v>
      </c>
      <c r="K1" s="9" t="s">
        <v>18</v>
      </c>
      <c r="L1" s="9" t="s">
        <v>19</v>
      </c>
      <c r="M1" s="9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0" x14ac:dyDescent="0.25">
      <c r="A2" s="8">
        <v>12</v>
      </c>
      <c r="B2" s="8">
        <v>12</v>
      </c>
      <c r="C2" s="8">
        <v>1</v>
      </c>
      <c r="D2" s="8" t="s">
        <v>32</v>
      </c>
      <c r="E2" s="8" t="s">
        <v>32</v>
      </c>
      <c r="F2" s="8" t="s">
        <v>32</v>
      </c>
      <c r="G2" s="8" t="s">
        <v>32</v>
      </c>
      <c r="H2" s="8" t="s">
        <v>32</v>
      </c>
      <c r="I2" s="8" t="s">
        <v>32</v>
      </c>
      <c r="J2" s="8" t="s">
        <v>13</v>
      </c>
      <c r="K2" s="8" t="s">
        <v>25</v>
      </c>
      <c r="L2" s="8" t="s">
        <v>25</v>
      </c>
      <c r="M2" s="8" t="s">
        <v>38</v>
      </c>
      <c r="P2" t="s">
        <v>13</v>
      </c>
      <c r="Q2" t="s">
        <v>13</v>
      </c>
      <c r="R2">
        <f>COUNTIF(J:J,$Q2)</f>
        <v>13</v>
      </c>
      <c r="S2">
        <f>COUNTIF(K:K,$Q2)</f>
        <v>0</v>
      </c>
      <c r="T2">
        <f>COUNTIF(L:L,$Q2)</f>
        <v>0</v>
      </c>
    </row>
    <row r="3" spans="1:20" x14ac:dyDescent="0.25">
      <c r="A3" s="8">
        <v>14</v>
      </c>
      <c r="B3" s="8">
        <v>14</v>
      </c>
      <c r="C3" s="8">
        <v>1</v>
      </c>
      <c r="D3" s="8" t="s">
        <v>32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25</v>
      </c>
      <c r="K3" s="8" t="s">
        <v>25</v>
      </c>
      <c r="L3" s="8" t="s">
        <v>25</v>
      </c>
      <c r="M3" s="8" t="s">
        <v>28</v>
      </c>
      <c r="P3" t="s">
        <v>14</v>
      </c>
      <c r="Q3" t="s">
        <v>14</v>
      </c>
      <c r="R3">
        <f>COUNTIF(J:J,$Q3)</f>
        <v>0</v>
      </c>
      <c r="S3">
        <f>COUNTIF(K:K,$Q3)</f>
        <v>0</v>
      </c>
      <c r="T3">
        <f>COUNTIF(L:L,$Q3)</f>
        <v>0</v>
      </c>
    </row>
    <row r="4" spans="1:20" x14ac:dyDescent="0.25">
      <c r="A4" s="8">
        <v>17</v>
      </c>
      <c r="B4" s="8">
        <v>17</v>
      </c>
      <c r="C4" s="8">
        <v>1</v>
      </c>
      <c r="D4" s="8" t="s">
        <v>32</v>
      </c>
      <c r="E4" s="8" t="s">
        <v>32</v>
      </c>
      <c r="F4" s="8" t="s">
        <v>32</v>
      </c>
      <c r="G4" s="8" t="s">
        <v>32</v>
      </c>
      <c r="H4" s="8" t="s">
        <v>32</v>
      </c>
      <c r="I4" s="8" t="s">
        <v>32</v>
      </c>
      <c r="J4" s="8" t="s">
        <v>15</v>
      </c>
      <c r="K4" s="8" t="s">
        <v>25</v>
      </c>
      <c r="L4" s="8" t="s">
        <v>25</v>
      </c>
      <c r="M4" s="8" t="s">
        <v>28</v>
      </c>
      <c r="P4" t="s">
        <v>15</v>
      </c>
      <c r="Q4" t="s">
        <v>15</v>
      </c>
      <c r="R4">
        <f>COUNTIF(J:J,$Q4)</f>
        <v>10</v>
      </c>
      <c r="S4">
        <f>COUNTIF(K:K,$Q4)</f>
        <v>1</v>
      </c>
      <c r="T4">
        <f>COUNTIF(L:L,$Q4)</f>
        <v>1</v>
      </c>
    </row>
    <row r="5" spans="1:20" x14ac:dyDescent="0.25">
      <c r="A5" s="8">
        <v>26</v>
      </c>
      <c r="B5" s="8">
        <v>26</v>
      </c>
      <c r="C5" s="8">
        <v>1</v>
      </c>
      <c r="D5" s="8" t="s">
        <v>32</v>
      </c>
      <c r="E5" s="8" t="s">
        <v>32</v>
      </c>
      <c r="F5" s="8" t="s">
        <v>32</v>
      </c>
      <c r="G5" s="8" t="s">
        <v>32</v>
      </c>
      <c r="H5" s="8" t="s">
        <v>32</v>
      </c>
      <c r="I5" s="8" t="s">
        <v>32</v>
      </c>
      <c r="J5" s="8" t="s">
        <v>25</v>
      </c>
      <c r="K5" s="8" t="s">
        <v>25</v>
      </c>
      <c r="L5" s="8" t="s">
        <v>25</v>
      </c>
      <c r="M5" s="8" t="s">
        <v>28</v>
      </c>
      <c r="P5" t="s">
        <v>22</v>
      </c>
      <c r="Q5" t="s">
        <v>25</v>
      </c>
      <c r="R5">
        <f>COUNTIF(J:J,$Q5)</f>
        <v>47</v>
      </c>
      <c r="S5">
        <f>COUNTIF(K:K,$Q5)</f>
        <v>72</v>
      </c>
      <c r="T5">
        <f>COUNTIF(L:L,$Q5)</f>
        <v>72</v>
      </c>
    </row>
    <row r="6" spans="1:20" ht="15" customHeight="1" x14ac:dyDescent="0.25">
      <c r="A6" s="8">
        <v>56</v>
      </c>
      <c r="B6" s="8">
        <v>56</v>
      </c>
      <c r="C6" s="8">
        <v>1</v>
      </c>
      <c r="D6" s="8" t="s">
        <v>32</v>
      </c>
      <c r="E6" s="8" t="s">
        <v>32</v>
      </c>
      <c r="F6" s="8" t="s">
        <v>32</v>
      </c>
      <c r="G6" s="8" t="s">
        <v>32</v>
      </c>
      <c r="H6" s="8" t="s">
        <v>32</v>
      </c>
      <c r="I6" s="8" t="s">
        <v>32</v>
      </c>
      <c r="J6" s="8" t="s">
        <v>25</v>
      </c>
      <c r="K6" s="8" t="s">
        <v>25</v>
      </c>
      <c r="L6" s="8" t="s">
        <v>25</v>
      </c>
      <c r="M6" s="8" t="s">
        <v>43</v>
      </c>
      <c r="P6" t="s">
        <v>21</v>
      </c>
      <c r="Q6" t="s">
        <v>26</v>
      </c>
      <c r="R6">
        <f>COUNTIF(J:J,$Q6)</f>
        <v>2</v>
      </c>
      <c r="S6">
        <f>COUNTIF(K:K,$Q6)</f>
        <v>2</v>
      </c>
      <c r="T6">
        <f>COUNTIF(L:L,$Q6)</f>
        <v>2</v>
      </c>
    </row>
    <row r="7" spans="1:20" x14ac:dyDescent="0.25">
      <c r="A7" s="8">
        <v>57</v>
      </c>
      <c r="B7" s="8">
        <v>57</v>
      </c>
      <c r="C7" s="8">
        <v>1</v>
      </c>
      <c r="D7" s="8" t="s">
        <v>32</v>
      </c>
      <c r="E7" s="8" t="s">
        <v>32</v>
      </c>
      <c r="F7" s="8" t="s">
        <v>32</v>
      </c>
      <c r="G7" s="8" t="s">
        <v>32</v>
      </c>
      <c r="H7" s="8" t="s">
        <v>32</v>
      </c>
      <c r="I7" s="8" t="s">
        <v>32</v>
      </c>
      <c r="J7" s="8" t="s">
        <v>25</v>
      </c>
      <c r="K7" s="8" t="s">
        <v>25</v>
      </c>
      <c r="L7" s="8" t="s">
        <v>25</v>
      </c>
      <c r="M7" s="8" t="s">
        <v>44</v>
      </c>
      <c r="P7" t="s">
        <v>23</v>
      </c>
      <c r="Q7" t="s">
        <v>27</v>
      </c>
      <c r="R7">
        <f>COUNTIF(J:J,$Q7)</f>
        <v>3</v>
      </c>
      <c r="S7">
        <f>COUNTIF(K:K,$Q7)</f>
        <v>0</v>
      </c>
      <c r="T7">
        <f>COUNTIF(L:L,$Q7)</f>
        <v>0</v>
      </c>
    </row>
    <row r="8" spans="1:20" ht="15" customHeight="1" x14ac:dyDescent="0.25">
      <c r="A8" s="8">
        <v>86</v>
      </c>
      <c r="B8" s="8">
        <v>86</v>
      </c>
      <c r="C8" s="8">
        <v>1</v>
      </c>
      <c r="D8" s="8" t="s">
        <v>32</v>
      </c>
      <c r="E8" s="8" t="s">
        <v>32</v>
      </c>
      <c r="F8" s="8" t="s">
        <v>32</v>
      </c>
      <c r="G8" s="8" t="s">
        <v>32</v>
      </c>
      <c r="H8" s="8" t="s">
        <v>32</v>
      </c>
      <c r="I8" s="8" t="s">
        <v>32</v>
      </c>
      <c r="J8" s="8" t="s">
        <v>25</v>
      </c>
      <c r="K8" s="8" t="s">
        <v>26</v>
      </c>
      <c r="L8" s="8" t="s">
        <v>26</v>
      </c>
      <c r="M8" s="8" t="s">
        <v>45</v>
      </c>
      <c r="P8" s="5" t="s">
        <v>16</v>
      </c>
      <c r="Q8" s="5"/>
      <c r="R8" s="6">
        <f>SUM(R2:R7)</f>
        <v>75</v>
      </c>
      <c r="S8" s="6">
        <f>SUM(S2:S7)</f>
        <v>75</v>
      </c>
      <c r="T8" s="6">
        <f>SUM(T2:T7)</f>
        <v>75</v>
      </c>
    </row>
    <row r="9" spans="1:20" x14ac:dyDescent="0.25">
      <c r="A9" s="8">
        <v>136</v>
      </c>
      <c r="B9" s="8">
        <v>7</v>
      </c>
      <c r="C9" s="8">
        <v>2</v>
      </c>
      <c r="D9" s="8">
        <v>11583.01</v>
      </c>
      <c r="E9" s="8">
        <v>1769.825</v>
      </c>
      <c r="F9" s="8">
        <v>2.0408810000000002</v>
      </c>
      <c r="G9" s="8">
        <v>3.29305</v>
      </c>
      <c r="H9" s="8">
        <v>6.7706999999999997</v>
      </c>
      <c r="I9" s="8">
        <v>0.90245940000000002</v>
      </c>
      <c r="J9" s="8" t="s">
        <v>25</v>
      </c>
      <c r="K9" s="8" t="s">
        <v>25</v>
      </c>
      <c r="L9" s="8" t="s">
        <v>25</v>
      </c>
      <c r="M9" s="8" t="s">
        <v>46</v>
      </c>
      <c r="P9" s="5"/>
      <c r="Q9" s="5"/>
      <c r="R9" s="6"/>
      <c r="S9" s="6"/>
      <c r="T9" s="6"/>
    </row>
    <row r="10" spans="1:20" x14ac:dyDescent="0.25">
      <c r="A10" s="8">
        <v>142</v>
      </c>
      <c r="B10" s="8">
        <v>13</v>
      </c>
      <c r="C10" s="8">
        <v>2</v>
      </c>
      <c r="D10" s="8">
        <v>11509.75</v>
      </c>
      <c r="E10" s="8">
        <v>1779.3820000000001</v>
      </c>
      <c r="F10" s="8">
        <v>3.483406</v>
      </c>
      <c r="G10" s="8">
        <v>9.4643449999999998</v>
      </c>
      <c r="H10" s="8">
        <v>11.567550000000001</v>
      </c>
      <c r="I10" s="8">
        <v>0.88859520000000003</v>
      </c>
      <c r="J10" s="8" t="s">
        <v>25</v>
      </c>
      <c r="K10" s="8" t="s">
        <v>25</v>
      </c>
      <c r="L10" s="8" t="s">
        <v>25</v>
      </c>
      <c r="M10" s="8" t="s">
        <v>38</v>
      </c>
    </row>
    <row r="11" spans="1:20" x14ac:dyDescent="0.25">
      <c r="A11" s="8">
        <v>161</v>
      </c>
      <c r="B11" s="8">
        <v>32</v>
      </c>
      <c r="C11" s="8">
        <v>2</v>
      </c>
      <c r="D11" s="8">
        <v>11531.25</v>
      </c>
      <c r="E11" s="8">
        <v>1817.6410000000001</v>
      </c>
      <c r="F11" s="8">
        <v>2.7896019999999999</v>
      </c>
      <c r="G11" s="8">
        <v>6.1543640000000002</v>
      </c>
      <c r="H11" s="8">
        <v>9.435867</v>
      </c>
      <c r="I11" s="8">
        <v>0.86839219999999995</v>
      </c>
      <c r="J11" s="8" t="s">
        <v>25</v>
      </c>
      <c r="K11" s="8" t="s">
        <v>25</v>
      </c>
      <c r="L11" s="8" t="s">
        <v>25</v>
      </c>
      <c r="M11" s="8" t="s">
        <v>38</v>
      </c>
    </row>
    <row r="12" spans="1:20" x14ac:dyDescent="0.25">
      <c r="A12" s="8">
        <v>217</v>
      </c>
      <c r="B12" s="8">
        <v>22</v>
      </c>
      <c r="C12" s="8">
        <v>3</v>
      </c>
      <c r="D12" s="8">
        <v>11258.99</v>
      </c>
      <c r="E12" s="8">
        <v>2610.5230000000001</v>
      </c>
      <c r="F12" s="8">
        <v>3.5980780000000001</v>
      </c>
      <c r="G12" s="8">
        <v>10.42094</v>
      </c>
      <c r="H12" s="8">
        <v>12.90014</v>
      </c>
      <c r="I12" s="8">
        <v>0.78670980000000001</v>
      </c>
      <c r="J12" s="8" t="s">
        <v>25</v>
      </c>
      <c r="K12" s="8" t="s">
        <v>25</v>
      </c>
      <c r="L12" s="8" t="s">
        <v>25</v>
      </c>
      <c r="M12" s="8" t="s">
        <v>46</v>
      </c>
    </row>
    <row r="13" spans="1:20" x14ac:dyDescent="0.25">
      <c r="A13" s="8">
        <v>218</v>
      </c>
      <c r="B13" s="8">
        <v>23</v>
      </c>
      <c r="C13" s="8">
        <v>3</v>
      </c>
      <c r="D13" s="8">
        <v>11363.79</v>
      </c>
      <c r="E13" s="8">
        <v>2611.1779999999999</v>
      </c>
      <c r="F13" s="8">
        <v>2.3662830000000001</v>
      </c>
      <c r="G13" s="8">
        <v>4.2327120000000003</v>
      </c>
      <c r="H13" s="8">
        <v>7.8430799999999996</v>
      </c>
      <c r="I13" s="8">
        <v>0.8644539</v>
      </c>
      <c r="J13" s="8" t="s">
        <v>27</v>
      </c>
      <c r="K13" s="8" t="s">
        <v>25</v>
      </c>
      <c r="L13" s="8" t="s">
        <v>25</v>
      </c>
      <c r="M13" s="8" t="s">
        <v>28</v>
      </c>
    </row>
    <row r="14" spans="1:20" x14ac:dyDescent="0.25">
      <c r="A14" s="8">
        <v>226</v>
      </c>
      <c r="B14" s="8">
        <v>31</v>
      </c>
      <c r="C14" s="8">
        <v>3</v>
      </c>
      <c r="D14" s="8">
        <v>11303.99</v>
      </c>
      <c r="E14" s="8">
        <v>2615.2350000000001</v>
      </c>
      <c r="F14" s="8">
        <v>3.122582</v>
      </c>
      <c r="G14" s="8">
        <v>7.5257630000000004</v>
      </c>
      <c r="H14" s="8">
        <v>10.539820000000001</v>
      </c>
      <c r="I14" s="8">
        <v>0.85110050000000004</v>
      </c>
      <c r="J14" s="8" t="s">
        <v>25</v>
      </c>
      <c r="K14" s="8" t="s">
        <v>25</v>
      </c>
      <c r="L14" s="8" t="s">
        <v>25</v>
      </c>
      <c r="M14" s="8" t="s">
        <v>47</v>
      </c>
    </row>
    <row r="15" spans="1:20" x14ac:dyDescent="0.25">
      <c r="A15" s="8">
        <v>267</v>
      </c>
      <c r="B15" s="8">
        <v>72</v>
      </c>
      <c r="C15" s="8">
        <v>3</v>
      </c>
      <c r="D15" s="8">
        <v>11280.43</v>
      </c>
      <c r="E15" s="8">
        <v>2638.087</v>
      </c>
      <c r="F15" s="8">
        <v>3.0947399999999998</v>
      </c>
      <c r="G15" s="8">
        <v>7.4241780000000004</v>
      </c>
      <c r="H15" s="8">
        <v>10.755369999999999</v>
      </c>
      <c r="I15" s="8">
        <v>0.80629430000000002</v>
      </c>
      <c r="J15" s="8" t="s">
        <v>25</v>
      </c>
      <c r="K15" s="8" t="s">
        <v>25</v>
      </c>
      <c r="L15" s="8" t="s">
        <v>25</v>
      </c>
      <c r="M15" s="8" t="s">
        <v>28</v>
      </c>
    </row>
    <row r="16" spans="1:20" x14ac:dyDescent="0.25">
      <c r="A16" s="8">
        <v>287</v>
      </c>
      <c r="B16" s="8">
        <v>6</v>
      </c>
      <c r="C16" s="8">
        <v>4</v>
      </c>
      <c r="D16" s="8">
        <v>13042.14</v>
      </c>
      <c r="E16" s="8">
        <v>2933.6060000000002</v>
      </c>
      <c r="F16" s="8">
        <v>1.7663249999999999</v>
      </c>
      <c r="G16" s="8">
        <v>2.311061</v>
      </c>
      <c r="H16" s="8">
        <v>6.5551399999999997</v>
      </c>
      <c r="I16" s="8">
        <v>0.67568430000000002</v>
      </c>
      <c r="J16" s="8" t="s">
        <v>25</v>
      </c>
      <c r="K16" s="8" t="s">
        <v>25</v>
      </c>
      <c r="L16" s="8" t="s">
        <v>25</v>
      </c>
      <c r="M16" s="8" t="s">
        <v>38</v>
      </c>
    </row>
    <row r="17" spans="1:13" x14ac:dyDescent="0.25">
      <c r="A17" s="8">
        <v>290</v>
      </c>
      <c r="B17" s="8">
        <v>9</v>
      </c>
      <c r="C17" s="8">
        <v>4</v>
      </c>
      <c r="D17" s="8">
        <v>13042.09</v>
      </c>
      <c r="E17" s="8">
        <v>2937.5239999999999</v>
      </c>
      <c r="F17" s="8">
        <v>1.7146939999999999</v>
      </c>
      <c r="G17" s="8">
        <v>2.1586829999999999</v>
      </c>
      <c r="H17" s="8">
        <v>5.9269540000000003</v>
      </c>
      <c r="I17" s="8">
        <v>0.77200880000000005</v>
      </c>
      <c r="J17" s="8" t="s">
        <v>25</v>
      </c>
      <c r="K17" s="8" t="s">
        <v>25</v>
      </c>
      <c r="L17" s="8" t="s">
        <v>25</v>
      </c>
      <c r="M17" s="8" t="s">
        <v>38</v>
      </c>
    </row>
    <row r="18" spans="1:13" x14ac:dyDescent="0.25">
      <c r="A18" s="8">
        <v>292</v>
      </c>
      <c r="B18" s="8">
        <v>11</v>
      </c>
      <c r="C18" s="8">
        <v>4</v>
      </c>
      <c r="D18" s="8">
        <v>13010.84</v>
      </c>
      <c r="E18" s="8">
        <v>2938.846</v>
      </c>
      <c r="F18" s="8">
        <v>1.7216910000000001</v>
      </c>
      <c r="G18" s="8">
        <v>2.4295770000000001</v>
      </c>
      <c r="H18" s="8">
        <v>6.5104959999999998</v>
      </c>
      <c r="I18" s="8">
        <v>0.72011009999999998</v>
      </c>
      <c r="J18" s="8" t="s">
        <v>25</v>
      </c>
      <c r="K18" s="8" t="s">
        <v>25</v>
      </c>
      <c r="L18" s="8" t="s">
        <v>25</v>
      </c>
      <c r="M18" s="8" t="s">
        <v>36</v>
      </c>
    </row>
    <row r="19" spans="1:13" x14ac:dyDescent="0.25">
      <c r="A19" s="8">
        <v>296</v>
      </c>
      <c r="B19" s="8">
        <v>15</v>
      </c>
      <c r="C19" s="8">
        <v>4</v>
      </c>
      <c r="D19" s="8">
        <v>13018.95</v>
      </c>
      <c r="E19" s="8">
        <v>2941.482</v>
      </c>
      <c r="F19" s="8">
        <v>2.392925</v>
      </c>
      <c r="G19" s="8">
        <v>4.4612790000000002</v>
      </c>
      <c r="H19" s="8">
        <v>8.0270709999999994</v>
      </c>
      <c r="I19" s="8">
        <v>0.86984430000000001</v>
      </c>
      <c r="J19" s="8" t="s">
        <v>25</v>
      </c>
      <c r="K19" s="8" t="s">
        <v>25</v>
      </c>
      <c r="L19" s="8" t="s">
        <v>25</v>
      </c>
      <c r="M19" s="8" t="s">
        <v>46</v>
      </c>
    </row>
    <row r="20" spans="1:13" x14ac:dyDescent="0.25">
      <c r="A20" s="8">
        <v>297</v>
      </c>
      <c r="B20" s="8">
        <v>16</v>
      </c>
      <c r="C20" s="8">
        <v>4</v>
      </c>
      <c r="D20" s="8">
        <v>12968.28</v>
      </c>
      <c r="E20" s="8">
        <v>2941.2669999999998</v>
      </c>
      <c r="F20" s="8">
        <v>2.6977660000000001</v>
      </c>
      <c r="G20" s="8">
        <v>5.8242130000000003</v>
      </c>
      <c r="H20" s="8">
        <v>9.512079</v>
      </c>
      <c r="I20" s="8">
        <v>0.8086911</v>
      </c>
      <c r="J20" s="8" t="s">
        <v>25</v>
      </c>
      <c r="K20" s="8" t="s">
        <v>25</v>
      </c>
      <c r="L20" s="8" t="s">
        <v>25</v>
      </c>
      <c r="M20" s="8" t="s">
        <v>48</v>
      </c>
    </row>
    <row r="21" spans="1:13" x14ac:dyDescent="0.25">
      <c r="A21" s="8">
        <v>298</v>
      </c>
      <c r="B21" s="8">
        <v>17</v>
      </c>
      <c r="C21" s="8">
        <v>4</v>
      </c>
      <c r="D21" s="8">
        <v>12916.74</v>
      </c>
      <c r="E21" s="8">
        <v>2941.587</v>
      </c>
      <c r="F21" s="8">
        <v>2.573423</v>
      </c>
      <c r="G21" s="8">
        <v>5.1639090000000003</v>
      </c>
      <c r="H21" s="8">
        <v>9.0994519999999994</v>
      </c>
      <c r="I21" s="8">
        <v>0.78350989999999998</v>
      </c>
      <c r="J21" s="8" t="s">
        <v>15</v>
      </c>
      <c r="K21" s="8" t="s">
        <v>25</v>
      </c>
      <c r="L21" s="8" t="s">
        <v>25</v>
      </c>
      <c r="M21" s="8" t="s">
        <v>49</v>
      </c>
    </row>
    <row r="22" spans="1:13" x14ac:dyDescent="0.25">
      <c r="A22" s="8">
        <v>299</v>
      </c>
      <c r="B22" s="8">
        <v>18</v>
      </c>
      <c r="C22" s="8">
        <v>4</v>
      </c>
      <c r="D22" s="8">
        <v>13041.81</v>
      </c>
      <c r="E22" s="8">
        <v>2942.123</v>
      </c>
      <c r="F22" s="8">
        <v>2.6896819999999999</v>
      </c>
      <c r="G22" s="8">
        <v>5.1977710000000004</v>
      </c>
      <c r="H22" s="8">
        <v>9.3411639999999991</v>
      </c>
      <c r="I22" s="8">
        <v>0.74836179999999997</v>
      </c>
      <c r="J22" s="8" t="s">
        <v>13</v>
      </c>
      <c r="K22" s="8" t="s">
        <v>25</v>
      </c>
      <c r="L22" s="8" t="s">
        <v>25</v>
      </c>
      <c r="M22" s="8" t="s">
        <v>38</v>
      </c>
    </row>
    <row r="23" spans="1:13" x14ac:dyDescent="0.25">
      <c r="A23" s="8">
        <v>300</v>
      </c>
      <c r="B23" s="8">
        <v>19</v>
      </c>
      <c r="C23" s="8">
        <v>4</v>
      </c>
      <c r="D23" s="8">
        <v>13020.97</v>
      </c>
      <c r="E23" s="8">
        <v>2943.4789999999998</v>
      </c>
      <c r="F23" s="8">
        <v>1.46062</v>
      </c>
      <c r="G23" s="8">
        <v>1.4729840000000001</v>
      </c>
      <c r="H23" s="8">
        <v>4.7652859999999997</v>
      </c>
      <c r="I23" s="8">
        <v>0.81492290000000001</v>
      </c>
      <c r="J23" s="8" t="s">
        <v>13</v>
      </c>
      <c r="K23" s="8" t="s">
        <v>25</v>
      </c>
      <c r="L23" s="8" t="s">
        <v>25</v>
      </c>
      <c r="M23" s="8" t="s">
        <v>46</v>
      </c>
    </row>
    <row r="24" spans="1:13" x14ac:dyDescent="0.25">
      <c r="A24" s="8">
        <v>305</v>
      </c>
      <c r="B24" s="8">
        <v>24</v>
      </c>
      <c r="C24" s="8">
        <v>4</v>
      </c>
      <c r="D24" s="8">
        <v>12928.5</v>
      </c>
      <c r="E24" s="8">
        <v>2948.4430000000002</v>
      </c>
      <c r="F24" s="8">
        <v>1.5389139999999999</v>
      </c>
      <c r="G24" s="8">
        <v>1.836997</v>
      </c>
      <c r="H24" s="8">
        <v>5.254124</v>
      </c>
      <c r="I24" s="8">
        <v>0.83599610000000002</v>
      </c>
      <c r="J24" s="8" t="s">
        <v>15</v>
      </c>
      <c r="K24" s="8" t="s">
        <v>25</v>
      </c>
      <c r="L24" s="8" t="s">
        <v>25</v>
      </c>
      <c r="M24" s="8" t="s">
        <v>28</v>
      </c>
    </row>
    <row r="25" spans="1:13" x14ac:dyDescent="0.25">
      <c r="A25" s="8">
        <v>309</v>
      </c>
      <c r="B25" s="8">
        <v>28</v>
      </c>
      <c r="C25" s="8">
        <v>4</v>
      </c>
      <c r="D25" s="8">
        <v>12967.52</v>
      </c>
      <c r="E25" s="8">
        <v>2949.6640000000002</v>
      </c>
      <c r="F25" s="8">
        <v>2.1736490000000002</v>
      </c>
      <c r="G25" s="8">
        <v>3.707856</v>
      </c>
      <c r="H25" s="8">
        <v>7.538233</v>
      </c>
      <c r="I25" s="8">
        <v>0.81974760000000002</v>
      </c>
      <c r="J25" s="8" t="s">
        <v>13</v>
      </c>
      <c r="K25" s="8" t="s">
        <v>25</v>
      </c>
      <c r="L25" s="8" t="s">
        <v>25</v>
      </c>
      <c r="M25" s="8" t="s">
        <v>33</v>
      </c>
    </row>
    <row r="26" spans="1:13" x14ac:dyDescent="0.25">
      <c r="A26" s="8">
        <v>310</v>
      </c>
      <c r="B26" s="8">
        <v>29</v>
      </c>
      <c r="C26" s="8">
        <v>4</v>
      </c>
      <c r="D26" s="8">
        <v>12889.22</v>
      </c>
      <c r="E26" s="8">
        <v>2951.6329999999998</v>
      </c>
      <c r="F26" s="8">
        <v>0.88275360000000003</v>
      </c>
      <c r="G26" s="8">
        <v>0.60951060000000001</v>
      </c>
      <c r="H26" s="8">
        <v>2.9253710000000002</v>
      </c>
      <c r="I26" s="8">
        <v>0.89477879999999999</v>
      </c>
      <c r="J26" s="8" t="s">
        <v>15</v>
      </c>
      <c r="K26" s="8" t="s">
        <v>25</v>
      </c>
      <c r="L26" s="8" t="s">
        <v>25</v>
      </c>
      <c r="M26" s="8" t="s">
        <v>36</v>
      </c>
    </row>
    <row r="27" spans="1:13" x14ac:dyDescent="0.25">
      <c r="A27" s="8">
        <v>311</v>
      </c>
      <c r="B27" s="8">
        <v>30</v>
      </c>
      <c r="C27" s="8">
        <v>4</v>
      </c>
      <c r="D27" s="8">
        <v>12883.06</v>
      </c>
      <c r="E27" s="8">
        <v>2952.0149999999999</v>
      </c>
      <c r="F27" s="8">
        <v>1.0115780000000001</v>
      </c>
      <c r="G27" s="8">
        <v>0.75342279999999995</v>
      </c>
      <c r="H27" s="8">
        <v>3.4773450000000001</v>
      </c>
      <c r="I27" s="8">
        <v>0.78277960000000002</v>
      </c>
      <c r="J27" s="8" t="s">
        <v>25</v>
      </c>
      <c r="K27" s="8" t="s">
        <v>25</v>
      </c>
      <c r="L27" s="8" t="s">
        <v>25</v>
      </c>
      <c r="M27" s="8" t="s">
        <v>51</v>
      </c>
    </row>
    <row r="28" spans="1:13" x14ac:dyDescent="0.25">
      <c r="A28" s="8">
        <v>324</v>
      </c>
      <c r="B28" s="8">
        <v>43</v>
      </c>
      <c r="C28" s="8">
        <v>4</v>
      </c>
      <c r="D28" s="8">
        <v>12894.31</v>
      </c>
      <c r="E28" s="8">
        <v>2958.1489999999999</v>
      </c>
      <c r="F28" s="8">
        <v>1.9929190000000001</v>
      </c>
      <c r="G28" s="8">
        <v>3.191465</v>
      </c>
      <c r="H28" s="8">
        <v>7.2018180000000003</v>
      </c>
      <c r="I28" s="8">
        <v>0.77304039999999996</v>
      </c>
      <c r="J28" s="8" t="s">
        <v>25</v>
      </c>
      <c r="K28" s="8" t="s">
        <v>25</v>
      </c>
      <c r="L28" s="8" t="s">
        <v>25</v>
      </c>
      <c r="M28" s="8" t="s">
        <v>38</v>
      </c>
    </row>
    <row r="29" spans="1:13" x14ac:dyDescent="0.25">
      <c r="A29" s="8">
        <v>325</v>
      </c>
      <c r="B29" s="8">
        <v>44</v>
      </c>
      <c r="C29" s="8">
        <v>4</v>
      </c>
      <c r="D29" s="8">
        <v>13006.36</v>
      </c>
      <c r="E29" s="8">
        <v>2958.3989999999999</v>
      </c>
      <c r="F29" s="8">
        <v>3.0264690000000001</v>
      </c>
      <c r="G29" s="8">
        <v>7.5850210000000002</v>
      </c>
      <c r="H29" s="8">
        <v>10.61603</v>
      </c>
      <c r="I29" s="8">
        <v>0.84553009999999995</v>
      </c>
      <c r="J29" s="8" t="s">
        <v>27</v>
      </c>
      <c r="K29" s="8" t="s">
        <v>25</v>
      </c>
      <c r="L29" s="8" t="s">
        <v>25</v>
      </c>
      <c r="M29" s="8" t="s">
        <v>38</v>
      </c>
    </row>
    <row r="30" spans="1:13" x14ac:dyDescent="0.25">
      <c r="A30" s="8">
        <v>331</v>
      </c>
      <c r="B30" s="8">
        <v>50</v>
      </c>
      <c r="C30" s="8">
        <v>4</v>
      </c>
      <c r="D30" s="8">
        <v>12994.03</v>
      </c>
      <c r="E30" s="8">
        <v>2961.4169999999999</v>
      </c>
      <c r="F30" s="8">
        <v>5.2013980000000002</v>
      </c>
      <c r="G30" s="8">
        <v>18.530819999999999</v>
      </c>
      <c r="H30" s="8">
        <v>20.527660000000001</v>
      </c>
      <c r="I30" s="8">
        <v>0.55247440000000003</v>
      </c>
      <c r="J30" s="8" t="s">
        <v>25</v>
      </c>
      <c r="K30" s="8" t="s">
        <v>25</v>
      </c>
      <c r="L30" s="8" t="s">
        <v>25</v>
      </c>
      <c r="M30" s="8" t="s">
        <v>33</v>
      </c>
    </row>
    <row r="31" spans="1:13" x14ac:dyDescent="0.25">
      <c r="A31" s="8">
        <v>345</v>
      </c>
      <c r="B31" s="8">
        <v>64</v>
      </c>
      <c r="C31" s="8">
        <v>4</v>
      </c>
      <c r="D31" s="8">
        <v>12925.13</v>
      </c>
      <c r="E31" s="8">
        <v>2968.6439999999998</v>
      </c>
      <c r="F31" s="8">
        <v>3.2028379999999999</v>
      </c>
      <c r="G31" s="8">
        <v>7.9067069999999999</v>
      </c>
      <c r="H31" s="8">
        <v>10.76845</v>
      </c>
      <c r="I31" s="8">
        <v>0.85661469999999995</v>
      </c>
      <c r="J31" s="8" t="s">
        <v>15</v>
      </c>
      <c r="K31" s="8" t="s">
        <v>25</v>
      </c>
      <c r="L31" s="8" t="s">
        <v>25</v>
      </c>
      <c r="M31" s="8" t="s">
        <v>28</v>
      </c>
    </row>
    <row r="32" spans="1:13" x14ac:dyDescent="0.25">
      <c r="A32" s="8">
        <v>350</v>
      </c>
      <c r="B32" s="8">
        <v>69</v>
      </c>
      <c r="C32" s="8">
        <v>4</v>
      </c>
      <c r="D32" s="8">
        <v>12942.89</v>
      </c>
      <c r="E32" s="8">
        <v>2972.223</v>
      </c>
      <c r="F32" s="8">
        <v>2.5637319999999999</v>
      </c>
      <c r="G32" s="8">
        <v>5.3078209999999997</v>
      </c>
      <c r="H32" s="8">
        <v>8.8708170000000006</v>
      </c>
      <c r="I32" s="8">
        <v>0.84739410000000004</v>
      </c>
      <c r="J32" s="8" t="s">
        <v>13</v>
      </c>
      <c r="K32" s="8" t="s">
        <v>25</v>
      </c>
      <c r="L32" s="8" t="s">
        <v>25</v>
      </c>
      <c r="M32" s="8" t="s">
        <v>38</v>
      </c>
    </row>
    <row r="33" spans="1:13" x14ac:dyDescent="0.25">
      <c r="A33" s="8">
        <v>357</v>
      </c>
      <c r="B33" s="8">
        <v>76</v>
      </c>
      <c r="C33" s="8">
        <v>4</v>
      </c>
      <c r="D33" s="8">
        <v>12970</v>
      </c>
      <c r="E33" s="8">
        <v>2975.9569999999999</v>
      </c>
      <c r="F33" s="8">
        <v>3.3272400000000002</v>
      </c>
      <c r="G33" s="8">
        <v>8.3045819999999999</v>
      </c>
      <c r="H33" s="8">
        <v>11.599119999999999</v>
      </c>
      <c r="I33" s="8">
        <v>0.77546820000000005</v>
      </c>
      <c r="J33" s="8" t="s">
        <v>15</v>
      </c>
      <c r="K33" s="8" t="s">
        <v>25</v>
      </c>
      <c r="L33" s="8" t="s">
        <v>25</v>
      </c>
      <c r="M33" s="8" t="s">
        <v>28</v>
      </c>
    </row>
    <row r="34" spans="1:13" x14ac:dyDescent="0.25">
      <c r="A34" s="8">
        <v>358</v>
      </c>
      <c r="B34" s="8">
        <v>77</v>
      </c>
      <c r="C34" s="8">
        <v>4</v>
      </c>
      <c r="D34" s="8">
        <v>12964.66</v>
      </c>
      <c r="E34" s="8">
        <v>2977.7779999999998</v>
      </c>
      <c r="F34" s="8">
        <v>2.176898</v>
      </c>
      <c r="G34" s="8">
        <v>3.7247870000000001</v>
      </c>
      <c r="H34" s="8">
        <v>7.4750969999999999</v>
      </c>
      <c r="I34" s="8">
        <v>0.83746010000000004</v>
      </c>
      <c r="J34" s="8" t="s">
        <v>25</v>
      </c>
      <c r="K34" s="8" t="s">
        <v>25</v>
      </c>
      <c r="L34" s="8" t="s">
        <v>25</v>
      </c>
      <c r="M34" s="8" t="s">
        <v>52</v>
      </c>
    </row>
    <row r="35" spans="1:13" x14ac:dyDescent="0.25">
      <c r="A35" s="8">
        <v>359</v>
      </c>
      <c r="B35" s="8">
        <v>78</v>
      </c>
      <c r="C35" s="8">
        <v>4</v>
      </c>
      <c r="D35" s="8">
        <v>12891.28</v>
      </c>
      <c r="E35" s="8">
        <v>2978.4470000000001</v>
      </c>
      <c r="F35" s="8">
        <v>1.506194</v>
      </c>
      <c r="G35" s="8">
        <v>1.726947</v>
      </c>
      <c r="H35" s="8">
        <v>5.0254890000000003</v>
      </c>
      <c r="I35" s="8">
        <v>0.85905050000000005</v>
      </c>
      <c r="J35" s="8" t="s">
        <v>25</v>
      </c>
      <c r="K35" s="8" t="s">
        <v>25</v>
      </c>
      <c r="L35" s="8" t="s">
        <v>25</v>
      </c>
      <c r="M35" s="8" t="s">
        <v>38</v>
      </c>
    </row>
    <row r="36" spans="1:13" x14ac:dyDescent="0.25">
      <c r="A36" s="8">
        <v>361</v>
      </c>
      <c r="B36" s="8">
        <v>80</v>
      </c>
      <c r="C36" s="8">
        <v>4</v>
      </c>
      <c r="D36" s="8">
        <v>12967.55</v>
      </c>
      <c r="E36" s="8">
        <v>2979.17</v>
      </c>
      <c r="F36" s="8">
        <v>1.9588319999999999</v>
      </c>
      <c r="G36" s="8">
        <v>3.08988</v>
      </c>
      <c r="H36" s="8">
        <v>6.7706999999999997</v>
      </c>
      <c r="I36" s="8">
        <v>0.84678070000000005</v>
      </c>
      <c r="J36" s="8" t="s">
        <v>25</v>
      </c>
      <c r="K36" s="8" t="s">
        <v>25</v>
      </c>
      <c r="L36" s="8" t="s">
        <v>25</v>
      </c>
      <c r="M36" s="8" t="s">
        <v>38</v>
      </c>
    </row>
    <row r="37" spans="1:13" x14ac:dyDescent="0.25">
      <c r="A37" s="8">
        <v>366</v>
      </c>
      <c r="B37" s="8">
        <v>85</v>
      </c>
      <c r="C37" s="8">
        <v>4</v>
      </c>
      <c r="D37" s="8">
        <v>12967.22</v>
      </c>
      <c r="E37" s="8">
        <v>2982.502</v>
      </c>
      <c r="F37" s="8">
        <v>2.9806309999999998</v>
      </c>
      <c r="G37" s="8">
        <v>7.0009059999999996</v>
      </c>
      <c r="H37" s="8">
        <v>10.019410000000001</v>
      </c>
      <c r="I37" s="8">
        <v>0.87612559999999995</v>
      </c>
      <c r="J37" s="8" t="s">
        <v>26</v>
      </c>
      <c r="K37" s="8" t="s">
        <v>25</v>
      </c>
      <c r="L37" s="8" t="s">
        <v>25</v>
      </c>
      <c r="M37" s="8" t="s">
        <v>28</v>
      </c>
    </row>
    <row r="38" spans="1:13" x14ac:dyDescent="0.25">
      <c r="A38" s="8">
        <v>367</v>
      </c>
      <c r="B38" s="8">
        <v>86</v>
      </c>
      <c r="C38" s="8">
        <v>4</v>
      </c>
      <c r="D38" s="8">
        <v>12946.59</v>
      </c>
      <c r="E38" s="8">
        <v>2982.8449999999998</v>
      </c>
      <c r="F38" s="8">
        <v>4.3398440000000003</v>
      </c>
      <c r="G38" s="8">
        <v>14.729839999999999</v>
      </c>
      <c r="H38" s="8">
        <v>14.6007</v>
      </c>
      <c r="I38" s="8">
        <v>0.8680542</v>
      </c>
      <c r="J38" s="8" t="s">
        <v>25</v>
      </c>
      <c r="K38" s="8" t="s">
        <v>25</v>
      </c>
      <c r="L38" s="8" t="s">
        <v>25</v>
      </c>
      <c r="M38" s="8" t="s">
        <v>28</v>
      </c>
    </row>
    <row r="39" spans="1:13" x14ac:dyDescent="0.25">
      <c r="A39" s="8">
        <v>369</v>
      </c>
      <c r="B39" s="8">
        <v>88</v>
      </c>
      <c r="C39" s="8">
        <v>4</v>
      </c>
      <c r="D39" s="8">
        <v>13014.91</v>
      </c>
      <c r="E39" s="8">
        <v>2982.4569999999999</v>
      </c>
      <c r="F39" s="8">
        <v>4.8884059999999998</v>
      </c>
      <c r="G39" s="8">
        <v>18.88636</v>
      </c>
      <c r="H39" s="8">
        <v>21.24513</v>
      </c>
      <c r="I39" s="8">
        <v>0.52568539999999997</v>
      </c>
      <c r="J39" s="8" t="s">
        <v>15</v>
      </c>
      <c r="K39" s="8" t="s">
        <v>25</v>
      </c>
      <c r="L39" s="8" t="s">
        <v>25</v>
      </c>
      <c r="M39" s="8" t="s">
        <v>28</v>
      </c>
    </row>
    <row r="40" spans="1:13" x14ac:dyDescent="0.25">
      <c r="A40" s="8">
        <v>372</v>
      </c>
      <c r="B40" s="8">
        <v>91</v>
      </c>
      <c r="C40" s="8">
        <v>4</v>
      </c>
      <c r="D40" s="8">
        <v>12928.63</v>
      </c>
      <c r="E40" s="8">
        <v>2985.0320000000002</v>
      </c>
      <c r="F40" s="8">
        <v>5.0938169999999996</v>
      </c>
      <c r="G40" s="8">
        <v>20.410139999999998</v>
      </c>
      <c r="H40" s="8">
        <v>21.1112</v>
      </c>
      <c r="I40" s="8">
        <v>0.57532939999999999</v>
      </c>
      <c r="J40" s="8" t="s">
        <v>25</v>
      </c>
      <c r="K40" s="8" t="s">
        <v>25</v>
      </c>
      <c r="L40" s="8" t="s">
        <v>25</v>
      </c>
      <c r="M40" s="8" t="s">
        <v>28</v>
      </c>
    </row>
    <row r="41" spans="1:13" x14ac:dyDescent="0.25">
      <c r="A41" s="8">
        <v>375</v>
      </c>
      <c r="B41" s="8">
        <v>94</v>
      </c>
      <c r="C41" s="8">
        <v>4</v>
      </c>
      <c r="D41" s="8">
        <v>12904.89</v>
      </c>
      <c r="E41" s="8">
        <v>2987.8029999999999</v>
      </c>
      <c r="F41" s="8">
        <v>3.3537140000000001</v>
      </c>
      <c r="G41" s="8">
        <v>8.6770600000000009</v>
      </c>
      <c r="H41" s="8">
        <v>11.84083</v>
      </c>
      <c r="I41" s="8">
        <v>0.77750750000000002</v>
      </c>
      <c r="J41" s="8" t="s">
        <v>25</v>
      </c>
      <c r="K41" s="8" t="s">
        <v>25</v>
      </c>
      <c r="L41" s="8" t="s">
        <v>25</v>
      </c>
      <c r="M41" s="8" t="s">
        <v>46</v>
      </c>
    </row>
    <row r="42" spans="1:13" x14ac:dyDescent="0.25">
      <c r="A42" s="8">
        <v>382</v>
      </c>
      <c r="B42" s="8">
        <v>101</v>
      </c>
      <c r="C42" s="8">
        <v>4</v>
      </c>
      <c r="D42" s="8">
        <v>12929.53</v>
      </c>
      <c r="E42" s="8">
        <v>2990.7020000000002</v>
      </c>
      <c r="F42" s="8">
        <v>1.9356979999999999</v>
      </c>
      <c r="G42" s="8">
        <v>2.9544329999999999</v>
      </c>
      <c r="H42" s="8">
        <v>7.1386820000000002</v>
      </c>
      <c r="I42" s="8">
        <v>0.72834049999999995</v>
      </c>
      <c r="J42" s="8" t="s">
        <v>25</v>
      </c>
      <c r="K42" s="8" t="s">
        <v>25</v>
      </c>
      <c r="L42" s="8" t="s">
        <v>25</v>
      </c>
      <c r="M42" s="8" t="s">
        <v>53</v>
      </c>
    </row>
    <row r="43" spans="1:13" x14ac:dyDescent="0.25">
      <c r="A43" s="8">
        <v>387</v>
      </c>
      <c r="B43" s="8">
        <v>106</v>
      </c>
      <c r="C43" s="8">
        <v>4</v>
      </c>
      <c r="D43" s="8">
        <v>12937.38</v>
      </c>
      <c r="E43" s="8">
        <v>2991.5369999999998</v>
      </c>
      <c r="F43" s="8">
        <v>3.1279569999999999</v>
      </c>
      <c r="G43" s="8">
        <v>7.7035369999999999</v>
      </c>
      <c r="H43" s="8">
        <v>10.61603</v>
      </c>
      <c r="I43" s="8">
        <v>0.85874150000000005</v>
      </c>
      <c r="J43" s="8" t="s">
        <v>13</v>
      </c>
      <c r="K43" s="8" t="s">
        <v>25</v>
      </c>
      <c r="L43" s="8" t="s">
        <v>25</v>
      </c>
      <c r="M43" s="8" t="s">
        <v>33</v>
      </c>
    </row>
    <row r="44" spans="1:13" x14ac:dyDescent="0.25">
      <c r="A44" s="8">
        <v>397</v>
      </c>
      <c r="B44" s="8">
        <v>116</v>
      </c>
      <c r="C44" s="8">
        <v>4</v>
      </c>
      <c r="D44" s="8">
        <v>12978.26</v>
      </c>
      <c r="E44" s="8">
        <v>2996.1149999999998</v>
      </c>
      <c r="F44" s="8">
        <v>4.7937430000000001</v>
      </c>
      <c r="G44" s="8">
        <v>18.06522</v>
      </c>
      <c r="H44" s="8">
        <v>17.786280000000001</v>
      </c>
      <c r="I44" s="8">
        <v>0.71741330000000003</v>
      </c>
      <c r="J44" s="8" t="s">
        <v>25</v>
      </c>
      <c r="K44" s="8" t="s">
        <v>25</v>
      </c>
      <c r="L44" s="8" t="s">
        <v>25</v>
      </c>
      <c r="M44" s="8" t="s">
        <v>47</v>
      </c>
    </row>
    <row r="45" spans="1:13" x14ac:dyDescent="0.25">
      <c r="A45" s="8">
        <v>398</v>
      </c>
      <c r="B45" s="8">
        <v>117</v>
      </c>
      <c r="C45" s="8">
        <v>4</v>
      </c>
      <c r="D45" s="8">
        <v>12963.64</v>
      </c>
      <c r="E45" s="8">
        <v>2998.848</v>
      </c>
      <c r="F45" s="8">
        <v>1.267123</v>
      </c>
      <c r="G45" s="8">
        <v>1.2444170000000001</v>
      </c>
      <c r="H45" s="8">
        <v>4.213311</v>
      </c>
      <c r="I45" s="8">
        <v>0.88067450000000003</v>
      </c>
      <c r="J45" s="8" t="s">
        <v>25</v>
      </c>
      <c r="K45" s="8" t="s">
        <v>25</v>
      </c>
      <c r="L45" s="8" t="s">
        <v>25</v>
      </c>
      <c r="M45" s="8" t="s">
        <v>47</v>
      </c>
    </row>
    <row r="46" spans="1:13" x14ac:dyDescent="0.25">
      <c r="A46" s="8">
        <v>399</v>
      </c>
      <c r="B46" s="8">
        <v>118</v>
      </c>
      <c r="C46" s="8">
        <v>4</v>
      </c>
      <c r="D46" s="8">
        <v>12981.54</v>
      </c>
      <c r="E46" s="8">
        <v>3000.2840000000001</v>
      </c>
      <c r="F46" s="8">
        <v>0.80235400000000001</v>
      </c>
      <c r="G46" s="8">
        <v>0.4909946</v>
      </c>
      <c r="H46" s="8">
        <v>2.665168</v>
      </c>
      <c r="I46" s="8">
        <v>0.86840839999999997</v>
      </c>
      <c r="J46" s="8" t="s">
        <v>25</v>
      </c>
      <c r="K46" s="8" t="s">
        <v>25</v>
      </c>
      <c r="L46" s="8" t="s">
        <v>25</v>
      </c>
      <c r="M46" s="8" t="s">
        <v>52</v>
      </c>
    </row>
    <row r="47" spans="1:13" x14ac:dyDescent="0.25">
      <c r="A47" s="8">
        <v>403</v>
      </c>
      <c r="B47" s="8">
        <v>122</v>
      </c>
      <c r="C47" s="8">
        <v>4</v>
      </c>
      <c r="D47" s="8">
        <v>12977.78</v>
      </c>
      <c r="E47" s="8">
        <v>3001.6709999999998</v>
      </c>
      <c r="F47" s="8">
        <v>0.89386540000000003</v>
      </c>
      <c r="G47" s="8">
        <v>0.61797599999999997</v>
      </c>
      <c r="H47" s="8">
        <v>3.2171419999999999</v>
      </c>
      <c r="I47" s="8">
        <v>0.75011439999999996</v>
      </c>
      <c r="J47" s="8" t="s">
        <v>15</v>
      </c>
      <c r="K47" s="8" t="s">
        <v>25</v>
      </c>
      <c r="L47" s="8" t="s">
        <v>25</v>
      </c>
      <c r="M47" s="8" t="s">
        <v>36</v>
      </c>
    </row>
    <row r="48" spans="1:13" x14ac:dyDescent="0.25">
      <c r="A48" s="8">
        <v>404</v>
      </c>
      <c r="B48" s="8">
        <v>123</v>
      </c>
      <c r="C48" s="8">
        <v>4</v>
      </c>
      <c r="D48" s="8">
        <v>12983.79</v>
      </c>
      <c r="E48" s="8">
        <v>3002.232</v>
      </c>
      <c r="F48" s="8">
        <v>1.0131270000000001</v>
      </c>
      <c r="G48" s="8">
        <v>0.77881909999999999</v>
      </c>
      <c r="H48" s="8">
        <v>3.4011339999999999</v>
      </c>
      <c r="I48" s="8">
        <v>0.84583489999999995</v>
      </c>
      <c r="J48" s="8" t="s">
        <v>13</v>
      </c>
      <c r="K48" s="8" t="s">
        <v>25</v>
      </c>
      <c r="L48" s="8" t="s">
        <v>25</v>
      </c>
      <c r="M48" s="8" t="s">
        <v>33</v>
      </c>
    </row>
    <row r="49" spans="1:14" x14ac:dyDescent="0.25">
      <c r="A49" s="8">
        <v>421</v>
      </c>
      <c r="B49" s="8">
        <v>140</v>
      </c>
      <c r="C49" s="8">
        <v>4</v>
      </c>
      <c r="D49" s="8">
        <v>12926.48</v>
      </c>
      <c r="E49" s="8">
        <v>3012.386</v>
      </c>
      <c r="F49" s="8">
        <v>1.3428070000000001</v>
      </c>
      <c r="G49" s="8">
        <v>1.371399</v>
      </c>
      <c r="H49" s="8">
        <v>4.8099290000000003</v>
      </c>
      <c r="I49" s="8">
        <v>0.74470239999999999</v>
      </c>
      <c r="J49" s="8" t="s">
        <v>25</v>
      </c>
      <c r="K49" s="8" t="s">
        <v>25</v>
      </c>
      <c r="L49" s="8" t="s">
        <v>25</v>
      </c>
      <c r="M49" s="8" t="s">
        <v>28</v>
      </c>
    </row>
    <row r="50" spans="1:14" x14ac:dyDescent="0.25">
      <c r="A50" s="8">
        <v>422</v>
      </c>
      <c r="B50" s="8">
        <v>141</v>
      </c>
      <c r="C50" s="8">
        <v>4</v>
      </c>
      <c r="D50" s="8">
        <v>13014.48</v>
      </c>
      <c r="E50" s="8">
        <v>3012.1489999999999</v>
      </c>
      <c r="F50" s="8">
        <v>2.6681029999999999</v>
      </c>
      <c r="G50" s="8">
        <v>5.5448529999999998</v>
      </c>
      <c r="H50" s="8">
        <v>9.1310210000000005</v>
      </c>
      <c r="I50" s="8">
        <v>0.83550270000000004</v>
      </c>
      <c r="J50" s="8" t="s">
        <v>13</v>
      </c>
      <c r="K50" s="8" t="s">
        <v>25</v>
      </c>
      <c r="L50" s="8" t="s">
        <v>25</v>
      </c>
      <c r="M50" s="8" t="s">
        <v>38</v>
      </c>
    </row>
    <row r="51" spans="1:14" x14ac:dyDescent="0.25">
      <c r="A51" s="8">
        <v>423</v>
      </c>
      <c r="B51" s="8">
        <v>142</v>
      </c>
      <c r="C51" s="8">
        <v>4</v>
      </c>
      <c r="D51" s="8">
        <v>12879.29</v>
      </c>
      <c r="E51" s="8">
        <v>3012.759</v>
      </c>
      <c r="F51" s="8">
        <v>1.280386</v>
      </c>
      <c r="G51" s="8">
        <v>1.252883</v>
      </c>
      <c r="H51" s="8">
        <v>4.4419469999999999</v>
      </c>
      <c r="I51" s="8">
        <v>0.7977379</v>
      </c>
      <c r="J51" s="8" t="s">
        <v>25</v>
      </c>
      <c r="K51" s="8" t="s">
        <v>25</v>
      </c>
      <c r="L51" s="8" t="s">
        <v>25</v>
      </c>
      <c r="M51" s="8" t="s">
        <v>47</v>
      </c>
    </row>
    <row r="52" spans="1:14" x14ac:dyDescent="0.25">
      <c r="A52" s="8">
        <v>429</v>
      </c>
      <c r="B52" s="8">
        <v>148</v>
      </c>
      <c r="C52" s="8">
        <v>4</v>
      </c>
      <c r="D52" s="8">
        <v>12950.63</v>
      </c>
      <c r="E52" s="8">
        <v>3016.317</v>
      </c>
      <c r="F52" s="8">
        <v>3.3630409999999999</v>
      </c>
      <c r="G52" s="8">
        <v>8.8125079999999993</v>
      </c>
      <c r="H52" s="8">
        <v>11.167999999999999</v>
      </c>
      <c r="I52" s="8">
        <v>0.88765649999999996</v>
      </c>
      <c r="J52" s="8" t="s">
        <v>15</v>
      </c>
      <c r="K52" s="8" t="s">
        <v>25</v>
      </c>
      <c r="L52" s="8" t="s">
        <v>25</v>
      </c>
      <c r="M52" s="8" t="s">
        <v>28</v>
      </c>
    </row>
    <row r="53" spans="1:14" x14ac:dyDescent="0.25">
      <c r="A53" s="8">
        <v>437</v>
      </c>
      <c r="B53" s="8">
        <v>156</v>
      </c>
      <c r="C53" s="8">
        <v>4</v>
      </c>
      <c r="D53" s="8">
        <v>12961.64</v>
      </c>
      <c r="E53" s="8">
        <v>3018.8629999999998</v>
      </c>
      <c r="F53" s="8">
        <v>5.5633150000000002</v>
      </c>
      <c r="G53" s="8">
        <v>21.155100000000001</v>
      </c>
      <c r="H53" s="8">
        <v>22.259789999999999</v>
      </c>
      <c r="I53" s="8">
        <v>0.53637579999999996</v>
      </c>
      <c r="J53" s="8" t="s">
        <v>26</v>
      </c>
      <c r="K53" s="8" t="s">
        <v>25</v>
      </c>
      <c r="L53" s="8" t="s">
        <v>25</v>
      </c>
      <c r="M53" s="8" t="s">
        <v>54</v>
      </c>
    </row>
    <row r="54" spans="1:14" x14ac:dyDescent="0.25">
      <c r="A54" s="8">
        <v>443</v>
      </c>
      <c r="B54" s="8">
        <v>162</v>
      </c>
      <c r="C54" s="8">
        <v>4</v>
      </c>
      <c r="D54" s="8">
        <v>12912.41</v>
      </c>
      <c r="E54" s="8">
        <v>3024.54</v>
      </c>
      <c r="F54" s="8">
        <v>2.8861680000000001</v>
      </c>
      <c r="G54" s="8">
        <v>6.2390179999999997</v>
      </c>
      <c r="H54" s="8">
        <v>9.651427</v>
      </c>
      <c r="I54" s="8">
        <v>0.84145250000000005</v>
      </c>
      <c r="J54" s="8" t="s">
        <v>25</v>
      </c>
      <c r="K54" s="8" t="s">
        <v>25</v>
      </c>
      <c r="L54" s="8" t="s">
        <v>25</v>
      </c>
      <c r="M54" s="8" t="s">
        <v>46</v>
      </c>
    </row>
    <row r="55" spans="1:14" x14ac:dyDescent="0.25">
      <c r="A55" s="8">
        <v>447</v>
      </c>
      <c r="B55" s="8">
        <v>166</v>
      </c>
      <c r="C55" s="8">
        <v>4</v>
      </c>
      <c r="D55" s="8">
        <v>12980.87</v>
      </c>
      <c r="E55" s="8">
        <v>3026.91</v>
      </c>
      <c r="F55" s="8">
        <v>4.3361239999999999</v>
      </c>
      <c r="G55" s="8">
        <v>13.84097</v>
      </c>
      <c r="H55" s="8">
        <v>14.72156</v>
      </c>
      <c r="I55" s="8">
        <v>0.8023342</v>
      </c>
      <c r="J55" s="8" t="s">
        <v>25</v>
      </c>
      <c r="K55" s="8" t="s">
        <v>25</v>
      </c>
      <c r="L55" s="8" t="s">
        <v>25</v>
      </c>
      <c r="M55" s="8" t="s">
        <v>47</v>
      </c>
    </row>
    <row r="56" spans="1:14" x14ac:dyDescent="0.25">
      <c r="A56" s="8">
        <v>452</v>
      </c>
      <c r="B56" s="8">
        <v>171</v>
      </c>
      <c r="C56" s="8">
        <v>4</v>
      </c>
      <c r="D56" s="8">
        <v>12925.77</v>
      </c>
      <c r="E56" s="8">
        <v>3029.1889999999999</v>
      </c>
      <c r="F56" s="8">
        <v>2.3210489999999999</v>
      </c>
      <c r="G56" s="8">
        <v>4.4104859999999997</v>
      </c>
      <c r="H56" s="8">
        <v>8.287274</v>
      </c>
      <c r="I56" s="8">
        <v>0.8067879</v>
      </c>
      <c r="J56" s="8" t="s">
        <v>13</v>
      </c>
      <c r="K56" s="8" t="s">
        <v>25</v>
      </c>
      <c r="L56" s="8" t="s">
        <v>25</v>
      </c>
      <c r="M56" s="8" t="s">
        <v>38</v>
      </c>
    </row>
    <row r="57" spans="1:14" x14ac:dyDescent="0.25">
      <c r="A57" s="8">
        <v>453</v>
      </c>
      <c r="B57" s="8">
        <v>172</v>
      </c>
      <c r="C57" s="8">
        <v>4</v>
      </c>
      <c r="D57" s="8">
        <v>12907.24</v>
      </c>
      <c r="E57" s="8">
        <v>3028.6239999999998</v>
      </c>
      <c r="F57" s="8">
        <v>4.6148020000000001</v>
      </c>
      <c r="G57" s="8">
        <v>14.941470000000001</v>
      </c>
      <c r="H57" s="8">
        <v>16.409050000000001</v>
      </c>
      <c r="I57" s="8">
        <v>0.69714469999999995</v>
      </c>
      <c r="J57" s="8" t="s">
        <v>25</v>
      </c>
      <c r="K57" s="8" t="s">
        <v>25</v>
      </c>
      <c r="L57" s="8" t="s">
        <v>25</v>
      </c>
      <c r="M57" s="8" t="s">
        <v>28</v>
      </c>
    </row>
    <row r="58" spans="1:14" x14ac:dyDescent="0.25">
      <c r="A58" s="8">
        <v>455</v>
      </c>
      <c r="B58" s="8">
        <v>174</v>
      </c>
      <c r="C58" s="8">
        <v>4</v>
      </c>
      <c r="D58" s="8">
        <v>12903.17</v>
      </c>
      <c r="E58" s="8">
        <v>3030.8240000000001</v>
      </c>
      <c r="F58" s="8">
        <v>1.9156759999999999</v>
      </c>
      <c r="G58" s="8">
        <v>2.810521</v>
      </c>
      <c r="H58" s="8">
        <v>6.5420639999999999</v>
      </c>
      <c r="I58" s="8">
        <v>0.82499940000000005</v>
      </c>
      <c r="J58" s="8" t="s">
        <v>13</v>
      </c>
      <c r="K58" s="8" t="s">
        <v>25</v>
      </c>
      <c r="L58" s="8" t="s">
        <v>25</v>
      </c>
      <c r="M58" s="8" t="s">
        <v>52</v>
      </c>
    </row>
    <row r="59" spans="1:14" x14ac:dyDescent="0.25">
      <c r="A59" s="8">
        <v>459</v>
      </c>
      <c r="B59" s="8">
        <v>178</v>
      </c>
      <c r="C59" s="8">
        <v>4</v>
      </c>
      <c r="D59" s="8">
        <v>12946.57</v>
      </c>
      <c r="E59" s="8">
        <v>3032.625</v>
      </c>
      <c r="F59" s="8">
        <v>3.4559760000000002</v>
      </c>
      <c r="G59" s="8">
        <v>9.2696400000000008</v>
      </c>
      <c r="H59" s="8">
        <v>11.580629999999999</v>
      </c>
      <c r="I59" s="8">
        <v>0.86835039999999997</v>
      </c>
      <c r="J59" s="8" t="s">
        <v>25</v>
      </c>
      <c r="K59" s="8" t="s">
        <v>25</v>
      </c>
      <c r="L59" s="8" t="s">
        <v>25</v>
      </c>
      <c r="M59" s="8" t="s">
        <v>46</v>
      </c>
    </row>
    <row r="60" spans="1:14" x14ac:dyDescent="0.25">
      <c r="A60" s="8">
        <v>462</v>
      </c>
      <c r="B60" s="8">
        <v>181</v>
      </c>
      <c r="C60" s="8">
        <v>4</v>
      </c>
      <c r="D60" s="8">
        <v>12947.94</v>
      </c>
      <c r="E60" s="8">
        <v>3035.2849999999999</v>
      </c>
      <c r="F60" s="8">
        <v>1.00143</v>
      </c>
      <c r="G60" s="8">
        <v>0.73649200000000004</v>
      </c>
      <c r="H60" s="8">
        <v>3.2171419999999999</v>
      </c>
      <c r="I60" s="8">
        <v>0.89397190000000004</v>
      </c>
      <c r="J60" s="8" t="s">
        <v>25</v>
      </c>
      <c r="K60" s="8" t="s">
        <v>25</v>
      </c>
      <c r="L60" s="8" t="s">
        <v>25</v>
      </c>
      <c r="M60" s="8" t="s">
        <v>46</v>
      </c>
    </row>
    <row r="61" spans="1:14" x14ac:dyDescent="0.25">
      <c r="A61" s="8">
        <v>473</v>
      </c>
      <c r="B61" s="8">
        <v>192</v>
      </c>
      <c r="C61" s="8">
        <v>4</v>
      </c>
      <c r="D61" s="8">
        <v>12921.94</v>
      </c>
      <c r="E61" s="8">
        <v>3041.2829999999999</v>
      </c>
      <c r="F61" s="8">
        <v>1.0285089999999999</v>
      </c>
      <c r="G61" s="8">
        <v>0.77035370000000003</v>
      </c>
      <c r="H61" s="8">
        <v>3.3249219999999999</v>
      </c>
      <c r="I61" s="8">
        <v>0.8754345</v>
      </c>
      <c r="J61" s="8" t="s">
        <v>25</v>
      </c>
      <c r="K61" s="8" t="s">
        <v>15</v>
      </c>
      <c r="L61" s="8" t="s">
        <v>15</v>
      </c>
      <c r="M61" s="8" t="s">
        <v>46</v>
      </c>
    </row>
    <row r="62" spans="1:14" x14ac:dyDescent="0.25">
      <c r="A62" s="8">
        <v>488</v>
      </c>
      <c r="B62" s="8">
        <v>2</v>
      </c>
      <c r="C62" s="8">
        <v>5</v>
      </c>
      <c r="D62" s="8">
        <v>23988.81</v>
      </c>
      <c r="E62" s="8">
        <v>5807.4530000000004</v>
      </c>
      <c r="F62" s="8">
        <v>2.3422670000000001</v>
      </c>
      <c r="G62" s="8">
        <v>4.1819199999999999</v>
      </c>
      <c r="H62" s="8">
        <v>7.8877240000000004</v>
      </c>
      <c r="I62" s="8">
        <v>0.84443979999999996</v>
      </c>
      <c r="J62" s="8" t="s">
        <v>13</v>
      </c>
      <c r="K62" s="8" t="s">
        <v>25</v>
      </c>
      <c r="L62" s="8" t="s">
        <v>25</v>
      </c>
      <c r="M62" s="8" t="s">
        <v>38</v>
      </c>
    </row>
    <row r="63" spans="1:14" x14ac:dyDescent="0.25">
      <c r="A63" s="8">
        <v>489</v>
      </c>
      <c r="B63" s="8">
        <v>3</v>
      </c>
      <c r="C63" s="8">
        <v>5</v>
      </c>
      <c r="D63" s="8">
        <v>24034.83</v>
      </c>
      <c r="E63" s="8">
        <v>5807.81</v>
      </c>
      <c r="F63" s="8">
        <v>2.4309379999999998</v>
      </c>
      <c r="G63" s="8">
        <v>4.5797949999999998</v>
      </c>
      <c r="H63" s="8">
        <v>8.395054</v>
      </c>
      <c r="I63" s="8">
        <v>0.81638569999999999</v>
      </c>
      <c r="J63" s="8" t="s">
        <v>25</v>
      </c>
      <c r="K63" s="8" t="s">
        <v>26</v>
      </c>
      <c r="L63" s="8" t="s">
        <v>26</v>
      </c>
      <c r="M63" s="8" t="s">
        <v>55</v>
      </c>
      <c r="N63" t="s">
        <v>50</v>
      </c>
    </row>
    <row r="64" spans="1:14" x14ac:dyDescent="0.25">
      <c r="A64" s="8">
        <v>491</v>
      </c>
      <c r="B64" s="8">
        <v>5</v>
      </c>
      <c r="C64" s="8">
        <v>5</v>
      </c>
      <c r="D64" s="8">
        <v>23975.08</v>
      </c>
      <c r="E64" s="8">
        <v>5807.9070000000002</v>
      </c>
      <c r="F64" s="8">
        <v>3.393818</v>
      </c>
      <c r="G64" s="8">
        <v>9.1172629999999995</v>
      </c>
      <c r="H64" s="8">
        <v>11.62527</v>
      </c>
      <c r="I64" s="8">
        <v>0.84752899999999998</v>
      </c>
      <c r="J64" s="8" t="s">
        <v>25</v>
      </c>
      <c r="K64" s="8" t="s">
        <v>25</v>
      </c>
      <c r="L64" s="8" t="s">
        <v>25</v>
      </c>
      <c r="M64" s="8" t="s">
        <v>36</v>
      </c>
    </row>
    <row r="65" spans="1:13" x14ac:dyDescent="0.25">
      <c r="A65" s="8">
        <v>492</v>
      </c>
      <c r="B65" s="8">
        <v>6</v>
      </c>
      <c r="C65" s="8">
        <v>5</v>
      </c>
      <c r="D65" s="8">
        <v>23897.05</v>
      </c>
      <c r="E65" s="8">
        <v>5807.72</v>
      </c>
      <c r="F65" s="8">
        <v>4.1997559999999998</v>
      </c>
      <c r="G65" s="8">
        <v>11.50451</v>
      </c>
      <c r="H65" s="8">
        <v>15.59146</v>
      </c>
      <c r="I65" s="8">
        <v>0.59455389999999997</v>
      </c>
      <c r="J65" s="8" t="s">
        <v>25</v>
      </c>
      <c r="K65" s="8" t="s">
        <v>25</v>
      </c>
      <c r="L65" s="8" t="s">
        <v>25</v>
      </c>
      <c r="M65" s="8" t="s">
        <v>33</v>
      </c>
    </row>
    <row r="66" spans="1:13" x14ac:dyDescent="0.25">
      <c r="A66" s="8">
        <v>494</v>
      </c>
      <c r="B66" s="8">
        <v>8</v>
      </c>
      <c r="C66" s="8">
        <v>5</v>
      </c>
      <c r="D66" s="8">
        <v>23926.23</v>
      </c>
      <c r="E66" s="8">
        <v>5809.8879999999999</v>
      </c>
      <c r="F66" s="8">
        <v>3.4270999999999998</v>
      </c>
      <c r="G66" s="8">
        <v>9.1172629999999995</v>
      </c>
      <c r="H66" s="8">
        <v>11.688409999999999</v>
      </c>
      <c r="I66" s="8">
        <v>0.83839770000000002</v>
      </c>
      <c r="J66" s="8" t="s">
        <v>25</v>
      </c>
      <c r="K66" s="8" t="s">
        <v>25</v>
      </c>
      <c r="L66" s="8" t="s">
        <v>25</v>
      </c>
      <c r="M66" s="8" t="s">
        <v>47</v>
      </c>
    </row>
    <row r="67" spans="1:13" x14ac:dyDescent="0.25">
      <c r="A67" s="8">
        <v>496</v>
      </c>
      <c r="B67" s="8">
        <v>10</v>
      </c>
      <c r="C67" s="8">
        <v>5</v>
      </c>
      <c r="D67" s="8">
        <v>24037.16</v>
      </c>
      <c r="E67" s="8">
        <v>5811.7870000000003</v>
      </c>
      <c r="F67" s="8">
        <v>3.1418180000000002</v>
      </c>
      <c r="G67" s="8">
        <v>7.4834360000000002</v>
      </c>
      <c r="H67" s="8">
        <v>10.35582</v>
      </c>
      <c r="I67" s="8">
        <v>0.87665369999999998</v>
      </c>
      <c r="J67" s="8" t="s">
        <v>25</v>
      </c>
      <c r="K67" s="8" t="s">
        <v>25</v>
      </c>
      <c r="L67" s="8" t="s">
        <v>25</v>
      </c>
      <c r="M67" s="8" t="s">
        <v>33</v>
      </c>
    </row>
    <row r="68" spans="1:13" x14ac:dyDescent="0.25">
      <c r="A68" s="8">
        <v>510</v>
      </c>
      <c r="B68" s="8">
        <v>24</v>
      </c>
      <c r="C68" s="8">
        <v>5</v>
      </c>
      <c r="D68" s="8">
        <v>23964.75</v>
      </c>
      <c r="E68" s="8">
        <v>5826.991</v>
      </c>
      <c r="F68" s="8">
        <v>2.2085699999999999</v>
      </c>
      <c r="G68" s="8">
        <v>3.8094410000000001</v>
      </c>
      <c r="H68" s="8">
        <v>7.430453</v>
      </c>
      <c r="I68" s="8">
        <v>0.86681620000000004</v>
      </c>
      <c r="J68" s="8" t="s">
        <v>13</v>
      </c>
      <c r="K68" s="8" t="s">
        <v>25</v>
      </c>
      <c r="L68" s="8" t="s">
        <v>25</v>
      </c>
      <c r="M68" s="8" t="s">
        <v>38</v>
      </c>
    </row>
    <row r="69" spans="1:13" x14ac:dyDescent="0.25">
      <c r="A69" s="8">
        <v>511</v>
      </c>
      <c r="B69" s="8">
        <v>25</v>
      </c>
      <c r="C69" s="8">
        <v>5</v>
      </c>
      <c r="D69" s="8">
        <v>24015.77</v>
      </c>
      <c r="E69" s="8">
        <v>5827.2340000000004</v>
      </c>
      <c r="F69" s="8">
        <v>3.5733410000000001</v>
      </c>
      <c r="G69" s="8">
        <v>9.8622200000000007</v>
      </c>
      <c r="H69" s="8">
        <v>11.94861</v>
      </c>
      <c r="I69" s="8">
        <v>0.86783299999999997</v>
      </c>
      <c r="J69" s="8" t="s">
        <v>25</v>
      </c>
      <c r="K69" s="8" t="s">
        <v>25</v>
      </c>
      <c r="L69" s="8" t="s">
        <v>25</v>
      </c>
      <c r="M69" s="8" t="s">
        <v>46</v>
      </c>
    </row>
    <row r="70" spans="1:13" x14ac:dyDescent="0.25">
      <c r="A70" s="8">
        <v>517</v>
      </c>
      <c r="B70" s="8">
        <v>31</v>
      </c>
      <c r="C70" s="8">
        <v>5</v>
      </c>
      <c r="D70" s="8">
        <v>24033.4</v>
      </c>
      <c r="E70" s="8">
        <v>5834.1490000000003</v>
      </c>
      <c r="F70" s="8">
        <v>2.2753130000000001</v>
      </c>
      <c r="G70" s="8">
        <v>4.0718690000000004</v>
      </c>
      <c r="H70" s="8">
        <v>7.8746479999999996</v>
      </c>
      <c r="I70" s="8">
        <v>0.82495059999999998</v>
      </c>
      <c r="J70" s="8" t="s">
        <v>15</v>
      </c>
      <c r="K70" s="8" t="s">
        <v>25</v>
      </c>
      <c r="L70" s="8" t="s">
        <v>25</v>
      </c>
      <c r="M70" s="8" t="s">
        <v>28</v>
      </c>
    </row>
    <row r="71" spans="1:13" x14ac:dyDescent="0.25">
      <c r="A71" s="8">
        <v>523</v>
      </c>
      <c r="B71" s="8">
        <v>37</v>
      </c>
      <c r="C71" s="8">
        <v>5</v>
      </c>
      <c r="D71" s="8">
        <v>23889.19</v>
      </c>
      <c r="E71" s="8">
        <v>5837.8040000000001</v>
      </c>
      <c r="F71" s="8">
        <v>2.7118730000000002</v>
      </c>
      <c r="G71" s="8">
        <v>6.0527790000000001</v>
      </c>
      <c r="H71" s="8">
        <v>9.651427</v>
      </c>
      <c r="I71" s="8">
        <v>0.81633449999999996</v>
      </c>
      <c r="J71" s="8" t="s">
        <v>25</v>
      </c>
      <c r="K71" s="8" t="s">
        <v>25</v>
      </c>
      <c r="L71" s="8" t="s">
        <v>25</v>
      </c>
      <c r="M71" s="8" t="s">
        <v>38</v>
      </c>
    </row>
    <row r="72" spans="1:13" x14ac:dyDescent="0.25">
      <c r="A72" s="8">
        <v>534</v>
      </c>
      <c r="B72" s="8">
        <v>48</v>
      </c>
      <c r="C72" s="8">
        <v>5</v>
      </c>
      <c r="D72" s="8">
        <v>23908.959999999999</v>
      </c>
      <c r="E72" s="8">
        <v>5846.57</v>
      </c>
      <c r="F72" s="8">
        <v>3.245069</v>
      </c>
      <c r="G72" s="8">
        <v>7.2379379999999998</v>
      </c>
      <c r="H72" s="8">
        <v>11.688409999999999</v>
      </c>
      <c r="I72" s="8">
        <v>0.66558039999999996</v>
      </c>
      <c r="J72" s="8" t="s">
        <v>25</v>
      </c>
      <c r="K72" s="8" t="s">
        <v>25</v>
      </c>
      <c r="L72" s="8" t="s">
        <v>25</v>
      </c>
      <c r="M72" s="8" t="s">
        <v>47</v>
      </c>
    </row>
    <row r="73" spans="1:13" x14ac:dyDescent="0.25">
      <c r="A73" s="8">
        <v>548</v>
      </c>
      <c r="B73" s="8">
        <v>62</v>
      </c>
      <c r="C73" s="8">
        <v>5</v>
      </c>
      <c r="D73" s="8">
        <v>24026.95</v>
      </c>
      <c r="E73" s="8">
        <v>5853.7830000000004</v>
      </c>
      <c r="F73" s="8">
        <v>5.1825049999999999</v>
      </c>
      <c r="G73" s="8">
        <v>19.157260000000001</v>
      </c>
      <c r="H73" s="8">
        <v>18.122689999999999</v>
      </c>
      <c r="I73" s="8">
        <v>0.7327979</v>
      </c>
      <c r="J73" s="8" t="s">
        <v>25</v>
      </c>
      <c r="K73" s="8" t="s">
        <v>25</v>
      </c>
      <c r="L73" s="8" t="s">
        <v>25</v>
      </c>
      <c r="M73" s="8" t="s">
        <v>33</v>
      </c>
    </row>
    <row r="74" spans="1:13" x14ac:dyDescent="0.25">
      <c r="A74" s="8">
        <v>597</v>
      </c>
      <c r="B74" s="8">
        <v>111</v>
      </c>
      <c r="C74" s="8">
        <v>5</v>
      </c>
      <c r="D74" s="8">
        <v>23955.21</v>
      </c>
      <c r="E74" s="8">
        <v>5881.0860000000002</v>
      </c>
      <c r="F74" s="8">
        <v>1.908684</v>
      </c>
      <c r="G74" s="8">
        <v>2.8274520000000001</v>
      </c>
      <c r="H74" s="8">
        <v>6.371149</v>
      </c>
      <c r="I74" s="8">
        <v>0.87509689999999996</v>
      </c>
      <c r="J74" s="8" t="s">
        <v>27</v>
      </c>
      <c r="K74" s="8" t="s">
        <v>25</v>
      </c>
      <c r="L74" s="8" t="s">
        <v>25</v>
      </c>
      <c r="M74" s="8" t="s">
        <v>28</v>
      </c>
    </row>
    <row r="75" spans="1:13" x14ac:dyDescent="0.25">
      <c r="A75" s="8">
        <v>612</v>
      </c>
      <c r="B75" s="8">
        <v>126</v>
      </c>
      <c r="C75" s="8">
        <v>5</v>
      </c>
      <c r="D75" s="8">
        <v>23996.76</v>
      </c>
      <c r="E75" s="8">
        <v>5884.62</v>
      </c>
      <c r="F75" s="8">
        <v>4.8627120000000001</v>
      </c>
      <c r="G75" s="8">
        <v>14.78063</v>
      </c>
      <c r="H75" s="8">
        <v>19.302849999999999</v>
      </c>
      <c r="I75" s="8">
        <v>0.49836370000000002</v>
      </c>
      <c r="J75" s="8" t="s">
        <v>25</v>
      </c>
      <c r="K75" s="8" t="s">
        <v>25</v>
      </c>
      <c r="L75" s="8" t="s">
        <v>25</v>
      </c>
      <c r="M75" s="8" t="s">
        <v>46</v>
      </c>
    </row>
    <row r="76" spans="1:13" x14ac:dyDescent="0.25">
      <c r="A76" s="8">
        <v>659</v>
      </c>
      <c r="B76" s="8">
        <v>173</v>
      </c>
      <c r="C76" s="8">
        <v>5</v>
      </c>
      <c r="D76" s="8">
        <v>23958.49</v>
      </c>
      <c r="E76" s="8">
        <v>5914.1</v>
      </c>
      <c r="F76" s="8">
        <v>4.7758979999999998</v>
      </c>
      <c r="G76" s="8">
        <v>15.39861</v>
      </c>
      <c r="H76" s="8">
        <v>16.929459999999999</v>
      </c>
      <c r="I76" s="8">
        <v>0.67498139999999995</v>
      </c>
      <c r="J76" s="8" t="s">
        <v>13</v>
      </c>
      <c r="K76" s="8" t="s">
        <v>25</v>
      </c>
      <c r="L76" s="8" t="s">
        <v>25</v>
      </c>
      <c r="M76" s="8" t="s">
        <v>38</v>
      </c>
    </row>
  </sheetData>
  <mergeCells count="4">
    <mergeCell ref="P8:Q9"/>
    <mergeCell ref="R8:R9"/>
    <mergeCell ref="S8:S9"/>
    <mergeCell ref="T8:T9"/>
  </mergeCells>
  <phoneticPr fontId="2" type="noConversion"/>
  <conditionalFormatting sqref="A1:XFD1048576">
    <cfRule type="expression" dxfId="10" priority="1">
      <formula>OR(CELL(“col”)=COLUMN(),CELL(“row”)=ROW())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4155-89C1-498A-A0E7-A71276D56AA0}">
  <dimension ref="A1:V49"/>
  <sheetViews>
    <sheetView topLeftCell="A17" workbookViewId="0">
      <selection activeCell="A2" sqref="A2:M50"/>
    </sheetView>
  </sheetViews>
  <sheetFormatPr defaultRowHeight="15" x14ac:dyDescent="0.25"/>
  <cols>
    <col min="8" max="8" width="10.5703125" customWidth="1"/>
    <col min="9" max="9" width="10.7109375" customWidth="1"/>
    <col min="13" max="13" width="17.2851562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2" s="3" customFormat="1" ht="30" x14ac:dyDescent="0.25">
      <c r="A1" s="11" t="s">
        <v>8</v>
      </c>
      <c r="B1" s="11" t="s">
        <v>0</v>
      </c>
      <c r="C1" s="11" t="s">
        <v>7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17</v>
      </c>
      <c r="K1" s="11" t="s">
        <v>18</v>
      </c>
      <c r="L1" s="11" t="s">
        <v>19</v>
      </c>
      <c r="M1" s="11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2" x14ac:dyDescent="0.25">
      <c r="A2" s="4">
        <v>6</v>
      </c>
      <c r="B2" s="4">
        <v>6</v>
      </c>
      <c r="C2" s="4">
        <v>1</v>
      </c>
      <c r="D2" s="4">
        <v>-9933.6949999999997</v>
      </c>
      <c r="E2" s="4">
        <v>-2271.6480000000001</v>
      </c>
      <c r="F2" s="4">
        <v>5.298235</v>
      </c>
      <c r="G2" s="4">
        <v>21.908519999999999</v>
      </c>
      <c r="H2" s="4">
        <v>17.938700000000001</v>
      </c>
      <c r="I2" s="4">
        <v>0.85531760000000001</v>
      </c>
      <c r="J2" s="4" t="s">
        <v>25</v>
      </c>
      <c r="K2" s="4" t="s">
        <v>14</v>
      </c>
      <c r="L2" s="4" t="s">
        <v>25</v>
      </c>
      <c r="M2" s="4" t="s">
        <v>61</v>
      </c>
      <c r="Q2" t="s">
        <v>13</v>
      </c>
      <c r="R2" t="s">
        <v>13</v>
      </c>
      <c r="S2">
        <f>COUNTIF(J:J,$R2)</f>
        <v>0</v>
      </c>
      <c r="T2">
        <f>COUNTIF(K:K,$R2)</f>
        <v>1</v>
      </c>
      <c r="U2">
        <f>COUNTIF(L:L,$R2)</f>
        <v>0</v>
      </c>
    </row>
    <row r="3" spans="1:22" x14ac:dyDescent="0.25">
      <c r="A3" s="4">
        <v>17</v>
      </c>
      <c r="B3" s="4">
        <v>17</v>
      </c>
      <c r="C3" s="4">
        <v>1</v>
      </c>
      <c r="D3" s="4">
        <v>-9952.0380000000005</v>
      </c>
      <c r="E3" s="4">
        <v>-2248.2170000000001</v>
      </c>
      <c r="F3" s="4">
        <v>1.214769</v>
      </c>
      <c r="G3" s="4">
        <v>1.125901</v>
      </c>
      <c r="H3" s="4">
        <v>4.1055320000000002</v>
      </c>
      <c r="I3" s="4">
        <v>0.83918559999999998</v>
      </c>
      <c r="J3" s="4" t="s">
        <v>56</v>
      </c>
      <c r="K3" s="4" t="s">
        <v>25</v>
      </c>
      <c r="L3" s="4" t="s">
        <v>25</v>
      </c>
      <c r="M3" s="4" t="s">
        <v>63</v>
      </c>
      <c r="Q3" t="s">
        <v>14</v>
      </c>
      <c r="R3" t="s">
        <v>14</v>
      </c>
      <c r="S3">
        <f>COUNTIF(J:J,$R3)</f>
        <v>0</v>
      </c>
      <c r="T3">
        <f>COUNTIF(K:K,$R3)</f>
        <v>3</v>
      </c>
      <c r="U3">
        <f>COUNTIF(L:L,$R3)</f>
        <v>0</v>
      </c>
    </row>
    <row r="4" spans="1:22" x14ac:dyDescent="0.25">
      <c r="A4" s="4">
        <v>20</v>
      </c>
      <c r="B4" s="4">
        <v>20</v>
      </c>
      <c r="C4" s="4">
        <v>1</v>
      </c>
      <c r="D4" s="4">
        <v>-9958.9670000000006</v>
      </c>
      <c r="E4" s="4">
        <v>-2245.7739999999999</v>
      </c>
      <c r="F4" s="4">
        <v>6.2088190000000001</v>
      </c>
      <c r="G4" s="4">
        <v>28.884029999999999</v>
      </c>
      <c r="H4" s="4">
        <v>21.573889999999999</v>
      </c>
      <c r="I4" s="4">
        <v>0.7796459</v>
      </c>
      <c r="J4" s="4" t="s">
        <v>25</v>
      </c>
      <c r="K4" s="4" t="s">
        <v>25</v>
      </c>
      <c r="L4" s="4" t="s">
        <v>25</v>
      </c>
      <c r="M4" s="4" t="s">
        <v>47</v>
      </c>
      <c r="Q4" t="s">
        <v>15</v>
      </c>
      <c r="R4" t="s">
        <v>15</v>
      </c>
      <c r="S4">
        <f>COUNTIF(J:J,$R4)</f>
        <v>1</v>
      </c>
      <c r="T4">
        <f>COUNTIF(K:K,$R4)</f>
        <v>0</v>
      </c>
      <c r="U4">
        <f>COUNTIF(L:L,$R4)</f>
        <v>0</v>
      </c>
    </row>
    <row r="5" spans="1:22" x14ac:dyDescent="0.25">
      <c r="A5" s="4">
        <v>28</v>
      </c>
      <c r="B5" s="4">
        <v>28</v>
      </c>
      <c r="C5" s="4">
        <v>1</v>
      </c>
      <c r="D5" s="4">
        <v>-9909.1129999999994</v>
      </c>
      <c r="E5" s="4">
        <v>-2230.165</v>
      </c>
      <c r="F5" s="4">
        <v>2.7689149999999998</v>
      </c>
      <c r="G5" s="4">
        <v>5.9765899999999998</v>
      </c>
      <c r="H5" s="4">
        <v>9.3596550000000001</v>
      </c>
      <c r="I5" s="4">
        <v>0.85709729999999995</v>
      </c>
      <c r="J5" s="4" t="s">
        <v>27</v>
      </c>
      <c r="K5" s="4" t="s">
        <v>25</v>
      </c>
      <c r="L5" s="4" t="s">
        <v>25</v>
      </c>
      <c r="M5" s="4" t="s">
        <v>64</v>
      </c>
      <c r="Q5" t="s">
        <v>58</v>
      </c>
      <c r="R5" t="s">
        <v>56</v>
      </c>
      <c r="S5">
        <f>COUNTIF(J:J,$R5)</f>
        <v>4</v>
      </c>
      <c r="T5">
        <f>COUNTIF(K:K,$R5)</f>
        <v>0</v>
      </c>
      <c r="U5">
        <f>COUNTIF(L:L,$R5)</f>
        <v>0</v>
      </c>
    </row>
    <row r="6" spans="1:22" ht="15" customHeight="1" x14ac:dyDescent="0.25">
      <c r="A6" s="4">
        <v>56</v>
      </c>
      <c r="B6" s="4">
        <v>56</v>
      </c>
      <c r="C6" s="4">
        <v>1</v>
      </c>
      <c r="D6" s="4">
        <v>-9981.0139999999992</v>
      </c>
      <c r="E6" s="4">
        <v>-2196.8719999999998</v>
      </c>
      <c r="F6" s="4">
        <v>2.8939059999999999</v>
      </c>
      <c r="G6" s="4">
        <v>6.5861010000000002</v>
      </c>
      <c r="H6" s="4">
        <v>10.50825</v>
      </c>
      <c r="I6" s="4">
        <v>0.74931449999999999</v>
      </c>
      <c r="J6" s="4" t="s">
        <v>25</v>
      </c>
      <c r="K6" s="4" t="s">
        <v>25</v>
      </c>
      <c r="L6" s="4" t="s">
        <v>25</v>
      </c>
      <c r="M6" s="4" t="s">
        <v>46</v>
      </c>
      <c r="Q6" t="s">
        <v>59</v>
      </c>
      <c r="R6" t="s">
        <v>60</v>
      </c>
      <c r="S6">
        <f>COUNTIF(J:J,$R6)</f>
        <v>0</v>
      </c>
      <c r="T6">
        <f>COUNTIF(K:K,$R6)</f>
        <v>0</v>
      </c>
      <c r="U6">
        <f>COUNTIF(L:L,$R6)</f>
        <v>0</v>
      </c>
    </row>
    <row r="7" spans="1:22" x14ac:dyDescent="0.25">
      <c r="A7" s="4">
        <v>64</v>
      </c>
      <c r="B7" s="4">
        <v>64</v>
      </c>
      <c r="C7" s="4">
        <v>1</v>
      </c>
      <c r="D7" s="4">
        <v>-9869.5239999999994</v>
      </c>
      <c r="E7" s="4">
        <v>-2177.8139999999999</v>
      </c>
      <c r="F7" s="4">
        <v>0.83193810000000001</v>
      </c>
      <c r="G7" s="4">
        <v>0.51639089999999999</v>
      </c>
      <c r="H7" s="4">
        <v>2.696736</v>
      </c>
      <c r="I7" s="4">
        <v>0.89206839999999998</v>
      </c>
      <c r="J7" s="4" t="s">
        <v>25</v>
      </c>
      <c r="K7" s="4" t="s">
        <v>25</v>
      </c>
      <c r="L7" s="4" t="s">
        <v>25</v>
      </c>
      <c r="M7" s="4" t="s">
        <v>65</v>
      </c>
      <c r="Q7" t="s">
        <v>62</v>
      </c>
      <c r="R7" t="s">
        <v>57</v>
      </c>
      <c r="S7">
        <f>COUNTIF(J:J,$R7)</f>
        <v>1</v>
      </c>
      <c r="T7">
        <f>COUNTIF(K:K,$R7)</f>
        <v>0</v>
      </c>
      <c r="U7">
        <f>COUNTIF(L:L,$R7)</f>
        <v>0</v>
      </c>
    </row>
    <row r="8" spans="1:22" ht="15" customHeight="1" x14ac:dyDescent="0.25">
      <c r="A8" s="4">
        <v>66</v>
      </c>
      <c r="B8" s="4">
        <v>66</v>
      </c>
      <c r="C8" s="4">
        <v>1</v>
      </c>
      <c r="D8" s="4">
        <v>-9869.1489999999994</v>
      </c>
      <c r="E8" s="4">
        <v>-2176.6610000000001</v>
      </c>
      <c r="F8" s="4">
        <v>5.0963609999999999</v>
      </c>
      <c r="G8" s="4">
        <v>19.13186</v>
      </c>
      <c r="H8" s="4">
        <v>17.26587</v>
      </c>
      <c r="I8" s="4">
        <v>0.8062627</v>
      </c>
      <c r="J8" s="4" t="s">
        <v>25</v>
      </c>
      <c r="K8" s="4" t="s">
        <v>25</v>
      </c>
      <c r="L8" s="4" t="s">
        <v>25</v>
      </c>
      <c r="M8" s="4" t="s">
        <v>66</v>
      </c>
      <c r="Q8" t="s">
        <v>22</v>
      </c>
      <c r="R8" t="s">
        <v>25</v>
      </c>
      <c r="S8">
        <f>COUNTIF(J:J,$R8)</f>
        <v>34</v>
      </c>
      <c r="T8">
        <f>COUNTIF(K:K,$R8)</f>
        <v>43</v>
      </c>
      <c r="U8">
        <f>COUNTIF(L:L,$R8)</f>
        <v>44</v>
      </c>
      <c r="V8" s="2"/>
    </row>
    <row r="9" spans="1:22" x14ac:dyDescent="0.25">
      <c r="A9" s="4">
        <v>72</v>
      </c>
      <c r="B9" s="4">
        <v>72</v>
      </c>
      <c r="C9" s="4">
        <v>1</v>
      </c>
      <c r="D9" s="4">
        <v>-9866.1869999999999</v>
      </c>
      <c r="E9" s="4">
        <v>-2161.0230000000001</v>
      </c>
      <c r="F9" s="4">
        <v>3.2978100000000001</v>
      </c>
      <c r="G9" s="4">
        <v>8.0760149999999999</v>
      </c>
      <c r="H9" s="4">
        <v>12.303520000000001</v>
      </c>
      <c r="I9" s="4">
        <v>0.67024700000000004</v>
      </c>
      <c r="J9" s="4" t="s">
        <v>25</v>
      </c>
      <c r="K9" s="4" t="s">
        <v>25</v>
      </c>
      <c r="L9" s="4" t="s">
        <v>25</v>
      </c>
      <c r="M9" s="4" t="s">
        <v>67</v>
      </c>
      <c r="Q9" t="s">
        <v>21</v>
      </c>
      <c r="R9" t="s">
        <v>26</v>
      </c>
      <c r="S9">
        <f>COUNTIF(J:J,$R9)</f>
        <v>6</v>
      </c>
      <c r="T9">
        <f>COUNTIF(K:K,$R9)</f>
        <v>1</v>
      </c>
      <c r="U9">
        <f>COUNTIF(L:L,$R9)</f>
        <v>4</v>
      </c>
      <c r="V9" s="2"/>
    </row>
    <row r="10" spans="1:22" x14ac:dyDescent="0.25">
      <c r="A10" s="4">
        <v>83</v>
      </c>
      <c r="B10" s="4">
        <v>9</v>
      </c>
      <c r="C10" s="4">
        <v>2</v>
      </c>
      <c r="D10" s="4">
        <v>-12636.25</v>
      </c>
      <c r="E10" s="4">
        <v>1300.4369999999999</v>
      </c>
      <c r="F10" s="4">
        <v>2.745876</v>
      </c>
      <c r="G10" s="4">
        <v>5.9079170000000003</v>
      </c>
      <c r="H10" s="4">
        <v>10.27711</v>
      </c>
      <c r="I10" s="4">
        <v>0.70263980000000004</v>
      </c>
      <c r="J10" s="4" t="s">
        <v>25</v>
      </c>
      <c r="K10" s="4" t="s">
        <v>25</v>
      </c>
      <c r="L10" s="4" t="s">
        <v>25</v>
      </c>
      <c r="M10" s="4" t="s">
        <v>68</v>
      </c>
      <c r="Q10" t="s">
        <v>23</v>
      </c>
      <c r="R10" t="s">
        <v>27</v>
      </c>
      <c r="S10">
        <f>COUNTIF(J:J,$R10)</f>
        <v>2</v>
      </c>
      <c r="T10">
        <f>COUNTIF(K:K,$R10)</f>
        <v>0</v>
      </c>
      <c r="U10">
        <f>COUNTIF(L:L,$R10)</f>
        <v>0</v>
      </c>
    </row>
    <row r="11" spans="1:22" x14ac:dyDescent="0.25">
      <c r="A11" s="4">
        <v>93</v>
      </c>
      <c r="B11" s="4">
        <v>19</v>
      </c>
      <c r="C11" s="4">
        <v>2</v>
      </c>
      <c r="D11" s="4">
        <v>-12682.2</v>
      </c>
      <c r="E11" s="4">
        <v>1318.1020000000001</v>
      </c>
      <c r="F11" s="4">
        <v>3.135535</v>
      </c>
      <c r="G11" s="4">
        <v>7.7423580000000003</v>
      </c>
      <c r="H11" s="4">
        <v>11.134270000000001</v>
      </c>
      <c r="I11" s="4">
        <v>0.78449519999999995</v>
      </c>
      <c r="J11" s="4" t="s">
        <v>25</v>
      </c>
      <c r="K11" s="4" t="s">
        <v>14</v>
      </c>
      <c r="L11" s="4" t="s">
        <v>25</v>
      </c>
      <c r="M11" s="4" t="s">
        <v>69</v>
      </c>
      <c r="Q11" s="5" t="s">
        <v>16</v>
      </c>
      <c r="R11" s="5"/>
      <c r="S11" s="6">
        <f>SUM(S2:S10)</f>
        <v>48</v>
      </c>
      <c r="T11" s="5">
        <f>SUM(T2:T10)</f>
        <v>48</v>
      </c>
      <c r="U11" s="5">
        <f>SUM(U2:U10)</f>
        <v>48</v>
      </c>
    </row>
    <row r="12" spans="1:22" x14ac:dyDescent="0.25">
      <c r="A12" s="4">
        <v>104</v>
      </c>
      <c r="B12" s="4">
        <v>30</v>
      </c>
      <c r="C12" s="4">
        <v>2</v>
      </c>
      <c r="D12" s="4">
        <v>-12664.82</v>
      </c>
      <c r="E12" s="4">
        <v>1335.1279999999999</v>
      </c>
      <c r="F12" s="4">
        <v>2.6745960000000002</v>
      </c>
      <c r="G12" s="4">
        <v>4.9673949999999998</v>
      </c>
      <c r="H12" s="4">
        <v>10.72532</v>
      </c>
      <c r="I12" s="4">
        <v>0.54243710000000001</v>
      </c>
      <c r="J12" s="4" t="s">
        <v>25</v>
      </c>
      <c r="K12" s="4" t="s">
        <v>25</v>
      </c>
      <c r="L12" s="4" t="s">
        <v>25</v>
      </c>
      <c r="M12" s="4" t="s">
        <v>68</v>
      </c>
      <c r="Q12" s="5"/>
      <c r="R12" s="5"/>
      <c r="S12" s="6"/>
      <c r="T12" s="5"/>
      <c r="U12" s="5"/>
    </row>
    <row r="13" spans="1:22" x14ac:dyDescent="0.25">
      <c r="A13" s="4">
        <v>108</v>
      </c>
      <c r="B13" s="4">
        <v>4</v>
      </c>
      <c r="C13" s="4">
        <v>3</v>
      </c>
      <c r="D13" s="4">
        <v>-8458.3109999999997</v>
      </c>
      <c r="E13" s="4">
        <v>-749.59360000000004</v>
      </c>
      <c r="F13" s="4">
        <v>3.482707</v>
      </c>
      <c r="G13" s="4">
        <v>9.4094529999999992</v>
      </c>
      <c r="H13" s="4">
        <v>12.30836</v>
      </c>
      <c r="I13" s="4">
        <v>0.78019839999999996</v>
      </c>
      <c r="J13" s="4" t="s">
        <v>25</v>
      </c>
      <c r="K13" s="4" t="s">
        <v>25</v>
      </c>
      <c r="L13" s="4" t="s">
        <v>25</v>
      </c>
      <c r="M13" s="4" t="s">
        <v>70</v>
      </c>
    </row>
    <row r="14" spans="1:22" x14ac:dyDescent="0.25">
      <c r="A14" s="4">
        <v>110</v>
      </c>
      <c r="B14" s="4">
        <v>6</v>
      </c>
      <c r="C14" s="4">
        <v>3</v>
      </c>
      <c r="D14" s="4">
        <v>-8428.1049999999996</v>
      </c>
      <c r="E14" s="4">
        <v>-746.97879999999998</v>
      </c>
      <c r="F14" s="4">
        <v>1.1082019999999999</v>
      </c>
      <c r="G14" s="4">
        <v>0.96805949999999996</v>
      </c>
      <c r="H14" s="4">
        <v>3.732478</v>
      </c>
      <c r="I14" s="4">
        <v>0.87286759999999997</v>
      </c>
      <c r="J14" s="4" t="s">
        <v>25</v>
      </c>
      <c r="K14" s="4" t="s">
        <v>25</v>
      </c>
      <c r="L14" s="4" t="s">
        <v>25</v>
      </c>
      <c r="M14" s="4" t="s">
        <v>71</v>
      </c>
    </row>
    <row r="15" spans="1:22" x14ac:dyDescent="0.25">
      <c r="A15" s="4">
        <v>111</v>
      </c>
      <c r="B15" s="4">
        <v>7</v>
      </c>
      <c r="C15" s="4">
        <v>3</v>
      </c>
      <c r="D15" s="4">
        <v>-8427.8700000000008</v>
      </c>
      <c r="E15" s="4">
        <v>-746.86929999999995</v>
      </c>
      <c r="F15" s="4">
        <v>3.4088880000000001</v>
      </c>
      <c r="G15" s="4">
        <v>9.1383120000000009</v>
      </c>
      <c r="H15" s="4">
        <v>11.432700000000001</v>
      </c>
      <c r="I15" s="4">
        <v>0.87823189999999995</v>
      </c>
      <c r="J15" s="4" t="s">
        <v>25</v>
      </c>
      <c r="K15" s="4" t="s">
        <v>25</v>
      </c>
      <c r="L15" s="4" t="s">
        <v>25</v>
      </c>
      <c r="M15" s="4" t="s">
        <v>71</v>
      </c>
    </row>
    <row r="16" spans="1:22" x14ac:dyDescent="0.25">
      <c r="A16" s="4">
        <v>112</v>
      </c>
      <c r="B16" s="4">
        <v>8</v>
      </c>
      <c r="C16" s="4">
        <v>3</v>
      </c>
      <c r="D16" s="4">
        <v>-8452.49</v>
      </c>
      <c r="E16" s="4">
        <v>-745.78129999999999</v>
      </c>
      <c r="F16" s="4">
        <v>2.922031</v>
      </c>
      <c r="G16" s="4">
        <v>6.6938029999999999</v>
      </c>
      <c r="H16" s="4">
        <v>10.44539</v>
      </c>
      <c r="I16" s="4">
        <v>0.77066310000000005</v>
      </c>
      <c r="J16" s="4" t="s">
        <v>25</v>
      </c>
      <c r="K16" s="4" t="s">
        <v>25</v>
      </c>
      <c r="L16" s="4" t="s">
        <v>25</v>
      </c>
      <c r="M16" s="4" t="s">
        <v>71</v>
      </c>
    </row>
    <row r="17" spans="1:13" x14ac:dyDescent="0.25">
      <c r="A17" s="4">
        <v>115</v>
      </c>
      <c r="B17" s="4">
        <v>11</v>
      </c>
      <c r="C17" s="4">
        <v>3</v>
      </c>
      <c r="D17" s="4">
        <v>-8420.8829999999998</v>
      </c>
      <c r="E17" s="4">
        <v>-742.36440000000005</v>
      </c>
      <c r="F17" s="4">
        <v>1.525857</v>
      </c>
      <c r="G17" s="4">
        <v>1.8619790000000001</v>
      </c>
      <c r="H17" s="4">
        <v>5.21807</v>
      </c>
      <c r="I17" s="4">
        <v>0.85900529999999997</v>
      </c>
      <c r="J17" s="4" t="s">
        <v>26</v>
      </c>
      <c r="K17" s="4" t="s">
        <v>25</v>
      </c>
      <c r="L17" s="4" t="s">
        <v>25</v>
      </c>
      <c r="M17" s="4" t="s">
        <v>64</v>
      </c>
    </row>
    <row r="18" spans="1:13" x14ac:dyDescent="0.25">
      <c r="A18" s="4">
        <v>116</v>
      </c>
      <c r="B18" s="4">
        <v>12</v>
      </c>
      <c r="C18" s="4">
        <v>3</v>
      </c>
      <c r="D18" s="4">
        <v>-8448.36</v>
      </c>
      <c r="E18" s="4">
        <v>-741.83529999999996</v>
      </c>
      <c r="F18" s="4">
        <v>2.9439280000000001</v>
      </c>
      <c r="G18" s="4">
        <v>6.5878889999999997</v>
      </c>
      <c r="H18" s="4">
        <v>12.14662</v>
      </c>
      <c r="I18" s="4">
        <v>0.56088760000000004</v>
      </c>
      <c r="J18" s="4" t="s">
        <v>25</v>
      </c>
      <c r="K18" s="4" t="s">
        <v>25</v>
      </c>
      <c r="L18" s="4" t="s">
        <v>25</v>
      </c>
      <c r="M18" s="4" t="s">
        <v>72</v>
      </c>
    </row>
    <row r="19" spans="1:13" x14ac:dyDescent="0.25">
      <c r="A19" s="4">
        <v>121</v>
      </c>
      <c r="B19" s="4">
        <v>17</v>
      </c>
      <c r="C19" s="4">
        <v>3</v>
      </c>
      <c r="D19" s="4">
        <v>-8464.3549999999996</v>
      </c>
      <c r="E19" s="4">
        <v>-735.24869999999999</v>
      </c>
      <c r="F19" s="4">
        <v>2.4725609999999998</v>
      </c>
      <c r="G19" s="4">
        <v>4.7576840000000002</v>
      </c>
      <c r="H19" s="4">
        <v>8.2458720000000003</v>
      </c>
      <c r="I19" s="4">
        <v>0.87894799999999995</v>
      </c>
      <c r="J19" s="4" t="s">
        <v>25</v>
      </c>
      <c r="K19" s="4" t="s">
        <v>25</v>
      </c>
      <c r="L19" s="4" t="s">
        <v>25</v>
      </c>
      <c r="M19" s="4" t="s">
        <v>73</v>
      </c>
    </row>
    <row r="20" spans="1:13" x14ac:dyDescent="0.25">
      <c r="A20" s="4">
        <v>126</v>
      </c>
      <c r="B20" s="4">
        <v>22</v>
      </c>
      <c r="C20" s="4">
        <v>3</v>
      </c>
      <c r="D20" s="4">
        <v>-8444.5589999999993</v>
      </c>
      <c r="E20" s="4">
        <v>-728.01869999999997</v>
      </c>
      <c r="F20" s="4">
        <v>1.6809989999999999</v>
      </c>
      <c r="G20" s="4">
        <v>2.2411530000000002</v>
      </c>
      <c r="H20" s="4">
        <v>5.7860509999999996</v>
      </c>
      <c r="I20" s="4">
        <v>0.84090670000000001</v>
      </c>
      <c r="J20" s="4" t="s">
        <v>25</v>
      </c>
      <c r="K20" s="4" t="s">
        <v>25</v>
      </c>
      <c r="L20" s="4" t="s">
        <v>25</v>
      </c>
      <c r="M20" s="4" t="s">
        <v>74</v>
      </c>
    </row>
    <row r="21" spans="1:13" x14ac:dyDescent="0.25">
      <c r="A21" s="4">
        <v>133</v>
      </c>
      <c r="B21" s="4">
        <v>29</v>
      </c>
      <c r="C21" s="4">
        <v>3</v>
      </c>
      <c r="D21" s="4">
        <v>-8434.1949999999997</v>
      </c>
      <c r="E21" s="4">
        <v>-719.14030000000002</v>
      </c>
      <c r="F21" s="4">
        <v>1.1063460000000001</v>
      </c>
      <c r="G21" s="4">
        <v>0.83460710000000005</v>
      </c>
      <c r="H21" s="4">
        <v>4.5199350000000003</v>
      </c>
      <c r="I21" s="4">
        <v>0.51316669999999998</v>
      </c>
      <c r="J21" s="4" t="s">
        <v>26</v>
      </c>
      <c r="K21" s="4" t="s">
        <v>25</v>
      </c>
      <c r="L21" s="4" t="s">
        <v>25</v>
      </c>
      <c r="M21" s="4" t="s">
        <v>74</v>
      </c>
    </row>
    <row r="22" spans="1:13" x14ac:dyDescent="0.25">
      <c r="A22" s="4">
        <v>135</v>
      </c>
      <c r="B22" s="4">
        <v>1</v>
      </c>
      <c r="C22" s="4">
        <v>4</v>
      </c>
      <c r="D22" s="4">
        <v>-10581.84</v>
      </c>
      <c r="E22" s="4">
        <v>-3544.864</v>
      </c>
      <c r="F22" s="4">
        <v>1.9400470000000001</v>
      </c>
      <c r="G22" s="4">
        <v>2.921125</v>
      </c>
      <c r="H22" s="4">
        <v>6.5958389999999998</v>
      </c>
      <c r="I22" s="4">
        <v>0.84343360000000001</v>
      </c>
      <c r="J22" s="4" t="s">
        <v>25</v>
      </c>
      <c r="K22" s="4" t="s">
        <v>25</v>
      </c>
      <c r="L22" s="4" t="s">
        <v>25</v>
      </c>
      <c r="M22" s="4" t="s">
        <v>75</v>
      </c>
    </row>
    <row r="23" spans="1:13" x14ac:dyDescent="0.25">
      <c r="A23" s="4">
        <v>147</v>
      </c>
      <c r="B23" s="4">
        <v>13</v>
      </c>
      <c r="C23" s="4">
        <v>4</v>
      </c>
      <c r="D23" s="4">
        <v>-10595.78</v>
      </c>
      <c r="E23" s="4">
        <v>-3522.777</v>
      </c>
      <c r="F23" s="4">
        <v>1.334438</v>
      </c>
      <c r="G23" s="4">
        <v>1.387481</v>
      </c>
      <c r="H23" s="4">
        <v>4.7513690000000004</v>
      </c>
      <c r="I23" s="4">
        <v>0.77202329999999997</v>
      </c>
      <c r="J23" s="4" t="s">
        <v>25</v>
      </c>
      <c r="K23" s="4" t="s">
        <v>26</v>
      </c>
      <c r="L23" s="4" t="s">
        <v>25</v>
      </c>
      <c r="M23" s="4" t="s">
        <v>76</v>
      </c>
    </row>
    <row r="24" spans="1:13" x14ac:dyDescent="0.25">
      <c r="A24" s="4">
        <v>149</v>
      </c>
      <c r="B24" s="4">
        <v>15</v>
      </c>
      <c r="C24" s="4">
        <v>4</v>
      </c>
      <c r="D24" s="4">
        <v>-10613.62</v>
      </c>
      <c r="E24" s="4">
        <v>-3520.1379999999999</v>
      </c>
      <c r="F24" s="4">
        <v>2.5862370000000001</v>
      </c>
      <c r="G24" s="4">
        <v>5.2766659999999996</v>
      </c>
      <c r="H24" s="4">
        <v>10.505839999999999</v>
      </c>
      <c r="I24" s="4">
        <v>0.60053570000000001</v>
      </c>
      <c r="J24" s="4" t="s">
        <v>25</v>
      </c>
      <c r="K24" s="4" t="s">
        <v>25</v>
      </c>
      <c r="L24" s="4" t="s">
        <v>25</v>
      </c>
      <c r="M24" s="4" t="s">
        <v>73</v>
      </c>
    </row>
    <row r="25" spans="1:13" x14ac:dyDescent="0.25">
      <c r="A25" s="4">
        <v>151</v>
      </c>
      <c r="B25" s="4">
        <v>17</v>
      </c>
      <c r="C25" s="4">
        <v>4</v>
      </c>
      <c r="D25" s="4">
        <v>-10603.43</v>
      </c>
      <c r="E25" s="4">
        <v>-3516.9720000000002</v>
      </c>
      <c r="F25" s="4">
        <v>1.0834950000000001</v>
      </c>
      <c r="G25" s="4">
        <v>0.92993029999999999</v>
      </c>
      <c r="H25" s="4">
        <v>3.7863889999999998</v>
      </c>
      <c r="I25" s="4">
        <v>0.81478070000000002</v>
      </c>
      <c r="J25" s="4" t="s">
        <v>25</v>
      </c>
      <c r="K25" s="4" t="s">
        <v>25</v>
      </c>
      <c r="L25" s="4" t="s">
        <v>25</v>
      </c>
      <c r="M25" s="4" t="s">
        <v>77</v>
      </c>
    </row>
    <row r="26" spans="1:13" x14ac:dyDescent="0.25">
      <c r="A26" s="4">
        <v>175</v>
      </c>
      <c r="B26" s="4">
        <v>14</v>
      </c>
      <c r="C26" s="4">
        <v>5</v>
      </c>
      <c r="D26" s="4">
        <v>-12205.95</v>
      </c>
      <c r="E26" s="4">
        <v>-2291.2739999999999</v>
      </c>
      <c r="F26" s="4">
        <v>1.350921</v>
      </c>
      <c r="G26" s="4">
        <v>1.440439</v>
      </c>
      <c r="H26" s="4">
        <v>4.6593369999999998</v>
      </c>
      <c r="I26" s="4">
        <v>0.83346480000000001</v>
      </c>
      <c r="J26" s="4" t="s">
        <v>56</v>
      </c>
      <c r="K26" s="4" t="s">
        <v>25</v>
      </c>
      <c r="L26" s="4" t="s">
        <v>25</v>
      </c>
      <c r="M26" s="4" t="s">
        <v>78</v>
      </c>
    </row>
    <row r="27" spans="1:13" x14ac:dyDescent="0.25">
      <c r="A27" s="4">
        <v>182</v>
      </c>
      <c r="B27" s="4">
        <v>21</v>
      </c>
      <c r="C27" s="4">
        <v>5</v>
      </c>
      <c r="D27" s="4">
        <v>-12217.51</v>
      </c>
      <c r="E27" s="4">
        <v>-2283.5309999999999</v>
      </c>
      <c r="F27" s="4">
        <v>2.6935570000000002</v>
      </c>
      <c r="G27" s="4">
        <v>5.6092380000000004</v>
      </c>
      <c r="H27" s="4">
        <v>10.00102</v>
      </c>
      <c r="I27" s="4">
        <v>0.70445970000000002</v>
      </c>
      <c r="J27" s="4" t="s">
        <v>25</v>
      </c>
      <c r="K27" s="4" t="s">
        <v>25</v>
      </c>
      <c r="L27" s="4" t="s">
        <v>25</v>
      </c>
      <c r="M27" s="4" t="s">
        <v>79</v>
      </c>
    </row>
    <row r="28" spans="1:13" x14ac:dyDescent="0.25">
      <c r="A28" s="4">
        <v>186</v>
      </c>
      <c r="B28" s="4">
        <v>25</v>
      </c>
      <c r="C28" s="4">
        <v>5</v>
      </c>
      <c r="D28" s="4">
        <v>-12215.02</v>
      </c>
      <c r="E28" s="4">
        <v>-2280.3580000000002</v>
      </c>
      <c r="F28" s="4">
        <v>2.2830629999999998</v>
      </c>
      <c r="G28" s="4">
        <v>4.1221969999999999</v>
      </c>
      <c r="H28" s="4">
        <v>7.7699220000000002</v>
      </c>
      <c r="I28" s="4">
        <v>0.85770139999999995</v>
      </c>
      <c r="J28" s="4" t="s">
        <v>57</v>
      </c>
      <c r="K28" s="4" t="s">
        <v>25</v>
      </c>
      <c r="L28" s="4" t="s">
        <v>25</v>
      </c>
      <c r="M28" s="4" t="s">
        <v>64</v>
      </c>
    </row>
    <row r="29" spans="1:13" x14ac:dyDescent="0.25">
      <c r="A29" s="4">
        <v>189</v>
      </c>
      <c r="B29" s="4">
        <v>28</v>
      </c>
      <c r="C29" s="4">
        <v>5</v>
      </c>
      <c r="D29" s="4">
        <v>-12227.34</v>
      </c>
      <c r="E29" s="4">
        <v>-2276.4580000000001</v>
      </c>
      <c r="F29" s="4">
        <v>3.5245359999999999</v>
      </c>
      <c r="G29" s="4">
        <v>9.1933880000000006</v>
      </c>
      <c r="H29" s="4">
        <v>14.40005</v>
      </c>
      <c r="I29" s="4">
        <v>0.55691429999999997</v>
      </c>
      <c r="J29" s="4" t="s">
        <v>25</v>
      </c>
      <c r="K29" s="4" t="s">
        <v>13</v>
      </c>
      <c r="L29" s="4" t="s">
        <v>26</v>
      </c>
      <c r="M29" s="4" t="s">
        <v>46</v>
      </c>
    </row>
    <row r="30" spans="1:13" x14ac:dyDescent="0.25">
      <c r="A30" s="4">
        <v>191</v>
      </c>
      <c r="B30" s="4">
        <v>30</v>
      </c>
      <c r="C30" s="4">
        <v>5</v>
      </c>
      <c r="D30" s="4">
        <v>-12188.69</v>
      </c>
      <c r="E30" s="4">
        <v>-2272.75</v>
      </c>
      <c r="F30" s="4">
        <v>2.6170179999999998</v>
      </c>
      <c r="G30" s="4">
        <v>5.3613970000000002</v>
      </c>
      <c r="H30" s="4">
        <v>10.27711</v>
      </c>
      <c r="I30" s="4">
        <v>0.63764129999999997</v>
      </c>
      <c r="J30" s="4" t="s">
        <v>25</v>
      </c>
      <c r="K30" s="4" t="s">
        <v>25</v>
      </c>
      <c r="L30" s="4" t="s">
        <v>25</v>
      </c>
      <c r="M30" s="4" t="s">
        <v>68</v>
      </c>
    </row>
    <row r="31" spans="1:13" x14ac:dyDescent="0.25">
      <c r="A31" s="4">
        <v>202</v>
      </c>
      <c r="B31" s="4">
        <v>41</v>
      </c>
      <c r="C31" s="4">
        <v>5</v>
      </c>
      <c r="D31" s="4">
        <v>-12198.65</v>
      </c>
      <c r="E31" s="4">
        <v>-2266.5500000000002</v>
      </c>
      <c r="F31" s="4"/>
      <c r="G31" s="4"/>
      <c r="H31" s="4"/>
      <c r="I31" s="4"/>
      <c r="J31" s="4" t="s">
        <v>25</v>
      </c>
      <c r="K31" s="4" t="s">
        <v>25</v>
      </c>
      <c r="L31" s="4" t="s">
        <v>25</v>
      </c>
      <c r="M31" s="4" t="s">
        <v>80</v>
      </c>
    </row>
    <row r="32" spans="1:13" x14ac:dyDescent="0.25">
      <c r="A32" s="4">
        <v>205</v>
      </c>
      <c r="B32" s="4">
        <v>44</v>
      </c>
      <c r="C32" s="4">
        <v>5</v>
      </c>
      <c r="D32" s="4">
        <v>-12187</v>
      </c>
      <c r="E32" s="4">
        <v>-2278.25</v>
      </c>
      <c r="F32" s="4"/>
      <c r="G32" s="4"/>
      <c r="H32" s="4"/>
      <c r="I32" s="4"/>
      <c r="J32" s="4" t="s">
        <v>25</v>
      </c>
      <c r="K32" s="4" t="s">
        <v>25</v>
      </c>
      <c r="L32" s="4" t="s">
        <v>25</v>
      </c>
      <c r="M32" s="4" t="s">
        <v>81</v>
      </c>
    </row>
    <row r="33" spans="1:13" x14ac:dyDescent="0.25">
      <c r="A33" s="4">
        <v>208</v>
      </c>
      <c r="B33" s="4">
        <v>3</v>
      </c>
      <c r="C33" s="4">
        <v>6</v>
      </c>
      <c r="D33" s="4">
        <v>-8994.4040000000005</v>
      </c>
      <c r="E33" s="4">
        <v>-2530.047</v>
      </c>
      <c r="F33" s="4">
        <v>1.9146099999999999</v>
      </c>
      <c r="G33" s="4">
        <v>2.8491029999999999</v>
      </c>
      <c r="H33" s="4">
        <v>7.3005139999999997</v>
      </c>
      <c r="I33" s="4">
        <v>0.67149400000000004</v>
      </c>
      <c r="J33" s="4" t="s">
        <v>25</v>
      </c>
      <c r="K33" s="4" t="s">
        <v>25</v>
      </c>
      <c r="L33" s="4" t="s">
        <v>25</v>
      </c>
      <c r="M33" s="4" t="s">
        <v>82</v>
      </c>
    </row>
    <row r="34" spans="1:13" x14ac:dyDescent="0.25">
      <c r="A34" s="4">
        <v>217</v>
      </c>
      <c r="B34" s="4">
        <v>12</v>
      </c>
      <c r="C34" s="4">
        <v>6</v>
      </c>
      <c r="D34" s="4">
        <v>-9010.7690000000002</v>
      </c>
      <c r="E34" s="4">
        <v>-2508.6689999999999</v>
      </c>
      <c r="F34" s="4">
        <v>2.1895349999999998</v>
      </c>
      <c r="G34" s="4">
        <v>3.7430219999999998</v>
      </c>
      <c r="H34" s="4">
        <v>7.3952549999999997</v>
      </c>
      <c r="I34" s="4">
        <v>0.85971989999999998</v>
      </c>
      <c r="J34" s="4" t="s">
        <v>25</v>
      </c>
      <c r="K34" s="4" t="s">
        <v>14</v>
      </c>
      <c r="L34" s="4" t="s">
        <v>25</v>
      </c>
      <c r="M34" s="4" t="s">
        <v>83</v>
      </c>
    </row>
    <row r="35" spans="1:13" x14ac:dyDescent="0.25">
      <c r="A35" s="4">
        <v>238</v>
      </c>
      <c r="B35" s="4">
        <v>8</v>
      </c>
      <c r="C35" s="4">
        <v>7</v>
      </c>
      <c r="D35" s="4">
        <v>-9158.2980000000007</v>
      </c>
      <c r="E35" s="4">
        <v>1606.3140000000001</v>
      </c>
      <c r="F35" s="4">
        <v>2.7075930000000001</v>
      </c>
      <c r="G35" s="4">
        <v>5.7808190000000002</v>
      </c>
      <c r="H35" s="4">
        <v>9.2489740000000005</v>
      </c>
      <c r="I35" s="4">
        <v>0.84887380000000001</v>
      </c>
      <c r="J35" s="4" t="s">
        <v>25</v>
      </c>
      <c r="K35" s="4" t="s">
        <v>25</v>
      </c>
      <c r="L35" s="4" t="s">
        <v>25</v>
      </c>
      <c r="M35" s="4" t="s">
        <v>68</v>
      </c>
    </row>
    <row r="36" spans="1:13" x14ac:dyDescent="0.25">
      <c r="A36" s="4">
        <v>241</v>
      </c>
      <c r="B36" s="4">
        <v>11</v>
      </c>
      <c r="C36" s="4">
        <v>7</v>
      </c>
      <c r="D36" s="4">
        <v>-9152.2829999999994</v>
      </c>
      <c r="E36" s="4">
        <v>1612.174</v>
      </c>
      <c r="F36" s="4">
        <v>3.1210830000000001</v>
      </c>
      <c r="G36" s="4">
        <v>7.3843670000000001</v>
      </c>
      <c r="H36" s="4">
        <v>11.810079999999999</v>
      </c>
      <c r="I36" s="4">
        <v>0.66504129999999995</v>
      </c>
      <c r="J36" s="4" t="s">
        <v>25</v>
      </c>
      <c r="K36" s="4" t="s">
        <v>25</v>
      </c>
      <c r="L36" s="4" t="s">
        <v>25</v>
      </c>
      <c r="M36" s="4" t="s">
        <v>74</v>
      </c>
    </row>
    <row r="37" spans="1:13" x14ac:dyDescent="0.25">
      <c r="A37" s="4">
        <v>252</v>
      </c>
      <c r="B37" s="4">
        <v>22</v>
      </c>
      <c r="C37" s="4">
        <v>7</v>
      </c>
      <c r="D37" s="4">
        <v>-9195.77</v>
      </c>
      <c r="E37" s="4">
        <v>1635.287</v>
      </c>
      <c r="F37" s="4">
        <v>1.5241229999999999</v>
      </c>
      <c r="G37" s="4">
        <v>1.7963119999999999</v>
      </c>
      <c r="H37" s="4">
        <v>5.2877710000000002</v>
      </c>
      <c r="I37" s="4">
        <v>0.80700700000000003</v>
      </c>
      <c r="J37" s="4" t="s">
        <v>26</v>
      </c>
      <c r="K37" s="4" t="s">
        <v>25</v>
      </c>
      <c r="L37" s="4" t="s">
        <v>26</v>
      </c>
      <c r="M37" s="4" t="s">
        <v>84</v>
      </c>
    </row>
    <row r="38" spans="1:13" x14ac:dyDescent="0.25">
      <c r="A38" s="4">
        <v>261</v>
      </c>
      <c r="B38" s="4">
        <v>5</v>
      </c>
      <c r="C38" s="4">
        <v>8</v>
      </c>
      <c r="D38" s="4">
        <v>-8962.7630000000008</v>
      </c>
      <c r="E38" s="4">
        <v>5027.6459999999997</v>
      </c>
      <c r="F38" s="4">
        <v>2.8921839999999999</v>
      </c>
      <c r="G38" s="4">
        <v>3.4570530000000002</v>
      </c>
      <c r="H38" s="4">
        <v>17.465969999999999</v>
      </c>
      <c r="I38" s="4">
        <v>0.14235120000000001</v>
      </c>
      <c r="J38" s="4" t="s">
        <v>26</v>
      </c>
      <c r="K38" s="4" t="s">
        <v>25</v>
      </c>
      <c r="L38" s="4" t="s">
        <v>25</v>
      </c>
      <c r="M38" s="4" t="s">
        <v>85</v>
      </c>
    </row>
    <row r="39" spans="1:13" x14ac:dyDescent="0.25">
      <c r="A39" s="4">
        <v>264</v>
      </c>
      <c r="B39" s="4">
        <v>8</v>
      </c>
      <c r="C39" s="4">
        <v>8</v>
      </c>
      <c r="D39" s="4">
        <v>-8966.59</v>
      </c>
      <c r="E39" s="4">
        <v>5032.9949999999999</v>
      </c>
      <c r="F39" s="4">
        <v>1.7659800000000001</v>
      </c>
      <c r="G39" s="4">
        <v>2.372487</v>
      </c>
      <c r="H39" s="4">
        <v>5.7768009999999999</v>
      </c>
      <c r="I39" s="4">
        <v>0.89303779999999999</v>
      </c>
      <c r="J39" s="4" t="s">
        <v>25</v>
      </c>
      <c r="K39" s="4" t="s">
        <v>25</v>
      </c>
      <c r="L39" s="4" t="s">
        <v>25</v>
      </c>
      <c r="M39" s="4" t="s">
        <v>28</v>
      </c>
    </row>
    <row r="40" spans="1:13" x14ac:dyDescent="0.25">
      <c r="A40" s="4">
        <v>267</v>
      </c>
      <c r="B40" s="4">
        <v>11</v>
      </c>
      <c r="C40" s="4">
        <v>8</v>
      </c>
      <c r="D40" s="4">
        <v>-8962.0959999999995</v>
      </c>
      <c r="E40" s="4">
        <v>5038.1000000000004</v>
      </c>
      <c r="F40" s="4">
        <v>0.86267539999999998</v>
      </c>
      <c r="G40" s="4">
        <v>0.59312180000000003</v>
      </c>
      <c r="H40" s="4">
        <v>2.980432</v>
      </c>
      <c r="I40" s="4">
        <v>0.83873759999999997</v>
      </c>
      <c r="J40" s="4" t="s">
        <v>25</v>
      </c>
      <c r="K40" s="4" t="s">
        <v>25</v>
      </c>
      <c r="L40" s="4" t="s">
        <v>25</v>
      </c>
      <c r="M40" s="4" t="s">
        <v>51</v>
      </c>
    </row>
    <row r="41" spans="1:13" x14ac:dyDescent="0.25">
      <c r="A41" s="4">
        <v>274</v>
      </c>
      <c r="B41" s="4">
        <v>18</v>
      </c>
      <c r="C41" s="4">
        <v>8</v>
      </c>
      <c r="D41" s="4">
        <v>-8949.6620000000003</v>
      </c>
      <c r="E41" s="4">
        <v>5044.6589999999997</v>
      </c>
      <c r="F41" s="4">
        <v>1.0946940000000001</v>
      </c>
      <c r="G41" s="4">
        <v>0.8430803</v>
      </c>
      <c r="H41" s="4">
        <v>4.3897820000000003</v>
      </c>
      <c r="I41" s="4">
        <v>0.54957100000000003</v>
      </c>
      <c r="J41" s="4" t="s">
        <v>56</v>
      </c>
      <c r="K41" s="4" t="s">
        <v>25</v>
      </c>
      <c r="L41" s="4" t="s">
        <v>25</v>
      </c>
      <c r="M41" s="4" t="s">
        <v>73</v>
      </c>
    </row>
    <row r="42" spans="1:13" x14ac:dyDescent="0.25">
      <c r="A42" s="4">
        <v>280</v>
      </c>
      <c r="B42" s="4">
        <v>24</v>
      </c>
      <c r="C42" s="4">
        <v>8</v>
      </c>
      <c r="D42" s="4">
        <v>-9004.5319999999992</v>
      </c>
      <c r="E42" s="4">
        <v>5052.4759999999997</v>
      </c>
      <c r="F42" s="4">
        <v>0.92554910000000001</v>
      </c>
      <c r="G42" s="4">
        <v>0.51898160000000004</v>
      </c>
      <c r="H42" s="4">
        <v>3.8533810000000002</v>
      </c>
      <c r="I42" s="4">
        <v>0.43904480000000001</v>
      </c>
      <c r="J42" s="4" t="s">
        <v>25</v>
      </c>
      <c r="K42" s="4" t="s">
        <v>25</v>
      </c>
      <c r="L42" s="4" t="s">
        <v>25</v>
      </c>
      <c r="M42" s="4" t="s">
        <v>86</v>
      </c>
    </row>
    <row r="43" spans="1:13" x14ac:dyDescent="0.25">
      <c r="A43" s="4">
        <v>281</v>
      </c>
      <c r="B43" s="4">
        <v>25</v>
      </c>
      <c r="C43" s="4">
        <v>8</v>
      </c>
      <c r="D43" s="4">
        <v>-8979.4940000000006</v>
      </c>
      <c r="E43" s="4">
        <v>5057.3010000000004</v>
      </c>
      <c r="F43" s="4">
        <v>1.1096109999999999</v>
      </c>
      <c r="G43" s="4">
        <v>0.97865100000000005</v>
      </c>
      <c r="H43" s="4">
        <v>3.716688</v>
      </c>
      <c r="I43" s="4">
        <v>0.88993129999999998</v>
      </c>
      <c r="J43" s="4" t="s">
        <v>15</v>
      </c>
      <c r="K43" s="4" t="s">
        <v>25</v>
      </c>
      <c r="L43" s="4" t="s">
        <v>25</v>
      </c>
      <c r="M43" s="4" t="s">
        <v>87</v>
      </c>
    </row>
    <row r="44" spans="1:13" x14ac:dyDescent="0.25">
      <c r="A44" s="4">
        <v>288</v>
      </c>
      <c r="B44" s="4">
        <v>1</v>
      </c>
      <c r="C44" s="4">
        <v>9</v>
      </c>
      <c r="D44" s="4">
        <v>-6670.951</v>
      </c>
      <c r="E44" s="4">
        <v>3100.8310000000001</v>
      </c>
      <c r="F44" s="4">
        <v>1.7433129999999999</v>
      </c>
      <c r="G44" s="4">
        <v>1.7836019999999999</v>
      </c>
      <c r="H44" s="4">
        <v>8.2812839999999994</v>
      </c>
      <c r="I44" s="4">
        <v>0.32669569999999998</v>
      </c>
      <c r="J44" s="4" t="s">
        <v>26</v>
      </c>
      <c r="K44" s="4" t="s">
        <v>25</v>
      </c>
      <c r="L44" s="4" t="s">
        <v>26</v>
      </c>
      <c r="M44" s="4" t="s">
        <v>88</v>
      </c>
    </row>
    <row r="45" spans="1:13" x14ac:dyDescent="0.25">
      <c r="A45" s="4">
        <v>333</v>
      </c>
      <c r="B45" s="4">
        <v>46</v>
      </c>
      <c r="C45" s="4">
        <v>9</v>
      </c>
      <c r="D45" s="4">
        <v>-6705.5870000000004</v>
      </c>
      <c r="E45" s="4">
        <v>3140.6</v>
      </c>
      <c r="F45" s="4">
        <v>1.7330179999999999</v>
      </c>
      <c r="G45" s="4">
        <v>2.266572</v>
      </c>
      <c r="H45" s="4">
        <v>11.626010000000001</v>
      </c>
      <c r="I45" s="4">
        <v>0.2106439</v>
      </c>
      <c r="J45" s="4" t="s">
        <v>25</v>
      </c>
      <c r="K45" s="4" t="s">
        <v>25</v>
      </c>
      <c r="L45" s="4" t="s">
        <v>25</v>
      </c>
      <c r="M45" s="4" t="s">
        <v>76</v>
      </c>
    </row>
    <row r="46" spans="1:13" x14ac:dyDescent="0.25">
      <c r="A46" s="4">
        <v>339</v>
      </c>
      <c r="B46" s="4">
        <v>52</v>
      </c>
      <c r="C46" s="4">
        <v>9</v>
      </c>
      <c r="D46" s="4">
        <v>-6716.5</v>
      </c>
      <c r="E46" s="4">
        <v>3130.45</v>
      </c>
      <c r="F46" s="4"/>
      <c r="G46" s="4"/>
      <c r="H46" s="4"/>
      <c r="I46" s="4"/>
      <c r="J46" s="4" t="s">
        <v>27</v>
      </c>
      <c r="K46" s="4" t="s">
        <v>25</v>
      </c>
      <c r="L46" s="4" t="s">
        <v>25</v>
      </c>
      <c r="M46" s="4" t="s">
        <v>78</v>
      </c>
    </row>
    <row r="47" spans="1:13" x14ac:dyDescent="0.25">
      <c r="A47" s="4">
        <v>345</v>
      </c>
      <c r="B47" s="4">
        <v>5</v>
      </c>
      <c r="C47" s="4">
        <v>10</v>
      </c>
      <c r="D47" s="4">
        <v>-8661.4279999999999</v>
      </c>
      <c r="E47" s="4">
        <v>295.19450000000001</v>
      </c>
      <c r="F47" s="4">
        <v>3.0552489999999999</v>
      </c>
      <c r="G47" s="4">
        <v>7.2276129999999998</v>
      </c>
      <c r="H47" s="4">
        <v>10.728020000000001</v>
      </c>
      <c r="I47" s="4">
        <v>0.78885320000000003</v>
      </c>
      <c r="J47" s="4" t="s">
        <v>26</v>
      </c>
      <c r="K47" s="4" t="s">
        <v>25</v>
      </c>
      <c r="L47" s="4" t="s">
        <v>26</v>
      </c>
      <c r="M47" s="4" t="s">
        <v>89</v>
      </c>
    </row>
    <row r="48" spans="1:13" x14ac:dyDescent="0.25">
      <c r="A48" s="4">
        <v>395</v>
      </c>
      <c r="B48" s="4">
        <v>18</v>
      </c>
      <c r="C48" s="4">
        <v>11</v>
      </c>
      <c r="D48" s="4">
        <v>-11261.56</v>
      </c>
      <c r="E48" s="4">
        <v>2794.0259999999998</v>
      </c>
      <c r="F48" s="4">
        <v>2.4279139999999999</v>
      </c>
      <c r="G48" s="4">
        <v>4.6136400000000002</v>
      </c>
      <c r="H48" s="4">
        <v>8.3221139999999991</v>
      </c>
      <c r="I48" s="4">
        <v>0.83679139999999996</v>
      </c>
      <c r="J48" s="4" t="s">
        <v>56</v>
      </c>
      <c r="K48" s="4" t="s">
        <v>25</v>
      </c>
      <c r="L48" s="4" t="s">
        <v>25</v>
      </c>
      <c r="M48" s="4" t="s">
        <v>90</v>
      </c>
    </row>
    <row r="49" spans="1:13" x14ac:dyDescent="0.25">
      <c r="A49" s="4">
        <v>399</v>
      </c>
      <c r="B49" s="4">
        <v>22</v>
      </c>
      <c r="C49" s="4">
        <v>11</v>
      </c>
      <c r="D49" s="4">
        <v>-11262.97</v>
      </c>
      <c r="E49" s="4">
        <v>2796.8119999999999</v>
      </c>
      <c r="F49" s="4">
        <v>2.409068</v>
      </c>
      <c r="G49" s="4">
        <v>4.4590050000000003</v>
      </c>
      <c r="H49" s="4">
        <v>8.337904</v>
      </c>
      <c r="I49" s="4">
        <v>0.80568439999999997</v>
      </c>
      <c r="J49" s="4" t="s">
        <v>25</v>
      </c>
      <c r="K49" s="4" t="s">
        <v>25</v>
      </c>
      <c r="L49" s="4" t="s">
        <v>25</v>
      </c>
      <c r="M49" s="4" t="s">
        <v>74</v>
      </c>
    </row>
  </sheetData>
  <mergeCells count="4">
    <mergeCell ref="Q11:R12"/>
    <mergeCell ref="S11:S12"/>
    <mergeCell ref="T11:T12"/>
    <mergeCell ref="U11:U12"/>
  </mergeCells>
  <conditionalFormatting sqref="A1:V2 N3:R4 S3:U11 Q5:R10 Q11 A50:I1048576 A2:I25 D26:I30 F31:I32 A26:C32 A33:I34 V3:V44 Q13:U44 N5:P44 D35:I45 F46:I46 D47:I49 A35:C49 J2:M1048576 N45:V1048576 W1:XFD1048576">
    <cfRule type="expression" dxfId="9" priority="9">
      <formula>OR(CELL(“col”)=COLUMN(),CELL(“row”)=ROW())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4293-ECEE-428D-804C-C1F32331B1DA}">
  <dimension ref="A1:U16"/>
  <sheetViews>
    <sheetView workbookViewId="0">
      <selection activeCell="A2" sqref="A2:M16"/>
    </sheetView>
  </sheetViews>
  <sheetFormatPr defaultRowHeight="15" x14ac:dyDescent="0.25"/>
  <cols>
    <col min="8" max="8" width="10.5703125" customWidth="1"/>
    <col min="9" max="9" width="10.7109375" customWidth="1"/>
    <col min="13" max="13" width="17.2851562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1" s="3" customFormat="1" ht="30" x14ac:dyDescent="0.25">
      <c r="A1" s="12" t="s">
        <v>8</v>
      </c>
      <c r="B1" s="12" t="s">
        <v>0</v>
      </c>
      <c r="C1" s="12" t="s">
        <v>7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6</v>
      </c>
      <c r="J1" s="12" t="s">
        <v>17</v>
      </c>
      <c r="K1" s="12" t="s">
        <v>18</v>
      </c>
      <c r="L1" s="12" t="s">
        <v>19</v>
      </c>
      <c r="M1" s="13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1" x14ac:dyDescent="0.25">
      <c r="A2" s="14">
        <v>25</v>
      </c>
      <c r="B2" s="14">
        <v>1</v>
      </c>
      <c r="C2" s="14" t="s">
        <v>31</v>
      </c>
      <c r="D2" s="14">
        <v>-11004.2</v>
      </c>
      <c r="E2" s="14">
        <v>2650.0419999999999</v>
      </c>
      <c r="F2" s="14">
        <v>4.8366199999999999</v>
      </c>
      <c r="G2" s="14">
        <v>18.27685</v>
      </c>
      <c r="H2" s="14">
        <v>16.892469999999999</v>
      </c>
      <c r="I2" s="14">
        <v>0.80465810000000004</v>
      </c>
      <c r="J2" s="15" t="s">
        <v>25</v>
      </c>
      <c r="K2" s="15" t="s">
        <v>25</v>
      </c>
      <c r="L2" s="15" t="s">
        <v>25</v>
      </c>
      <c r="M2" s="15" t="s">
        <v>38</v>
      </c>
      <c r="P2" t="s">
        <v>13</v>
      </c>
      <c r="Q2" t="s">
        <v>13</v>
      </c>
      <c r="R2">
        <f>COUNTIF(J:J,$Q2)</f>
        <v>0</v>
      </c>
      <c r="S2">
        <f>COUNTIF(K:K,$Q2)</f>
        <v>1</v>
      </c>
      <c r="T2">
        <f>COUNTIF(L:L,$Q2)</f>
        <v>0</v>
      </c>
    </row>
    <row r="3" spans="1:21" ht="30" x14ac:dyDescent="0.25">
      <c r="A3" s="14">
        <v>41</v>
      </c>
      <c r="B3" s="14">
        <v>17</v>
      </c>
      <c r="C3" s="14" t="s">
        <v>31</v>
      </c>
      <c r="D3" s="14">
        <v>-10901.09</v>
      </c>
      <c r="E3" s="14">
        <v>2726.1689999999999</v>
      </c>
      <c r="F3" s="14">
        <v>3.6484519999999998</v>
      </c>
      <c r="G3" s="14">
        <v>10.66644</v>
      </c>
      <c r="H3" s="14">
        <v>14.017160000000001</v>
      </c>
      <c r="I3" s="14">
        <v>0.6820176</v>
      </c>
      <c r="J3" s="15" t="s">
        <v>25</v>
      </c>
      <c r="K3" s="15" t="s">
        <v>26</v>
      </c>
      <c r="L3" s="15" t="s">
        <v>25</v>
      </c>
      <c r="M3" s="15" t="s">
        <v>37</v>
      </c>
      <c r="P3" t="s">
        <v>14</v>
      </c>
      <c r="Q3" t="s">
        <v>14</v>
      </c>
      <c r="R3">
        <f>COUNTIF(J:J,$Q3)</f>
        <v>0</v>
      </c>
      <c r="S3">
        <f>COUNTIF(K:K,$Q3)</f>
        <v>0</v>
      </c>
      <c r="T3">
        <f>COUNTIF(L:L,$Q3)</f>
        <v>0</v>
      </c>
    </row>
    <row r="4" spans="1:21" x14ac:dyDescent="0.25">
      <c r="A4" s="14">
        <v>47</v>
      </c>
      <c r="B4" s="14">
        <v>23</v>
      </c>
      <c r="C4" s="14" t="s">
        <v>31</v>
      </c>
      <c r="D4" s="14">
        <v>-10946.81</v>
      </c>
      <c r="E4" s="14">
        <v>2759.2579999999998</v>
      </c>
      <c r="F4" s="14">
        <v>4.3782129999999997</v>
      </c>
      <c r="G4" s="14">
        <v>14.7637</v>
      </c>
      <c r="H4" s="14">
        <v>15.273529999999999</v>
      </c>
      <c r="I4" s="14">
        <v>0.79508319999999999</v>
      </c>
      <c r="J4" s="15" t="s">
        <v>25</v>
      </c>
      <c r="K4" s="15" t="s">
        <v>27</v>
      </c>
      <c r="L4" s="15" t="s">
        <v>25</v>
      </c>
      <c r="M4" s="15" t="s">
        <v>39</v>
      </c>
      <c r="P4" t="s">
        <v>15</v>
      </c>
      <c r="Q4" t="s">
        <v>15</v>
      </c>
      <c r="R4">
        <f>COUNTIF(J:J,$Q4)</f>
        <v>0</v>
      </c>
      <c r="S4">
        <f>COUNTIF(K:K,$Q4)</f>
        <v>0</v>
      </c>
      <c r="T4">
        <f>COUNTIF(L:L,$Q4)</f>
        <v>0</v>
      </c>
    </row>
    <row r="5" spans="1:21" x14ac:dyDescent="0.25">
      <c r="A5" s="14">
        <v>56</v>
      </c>
      <c r="B5" s="14">
        <v>7</v>
      </c>
      <c r="C5" s="14">
        <v>3</v>
      </c>
      <c r="D5" s="14">
        <v>-10825.32</v>
      </c>
      <c r="E5" s="14">
        <v>2672.6770000000001</v>
      </c>
      <c r="F5" s="14">
        <v>5.5637230000000004</v>
      </c>
      <c r="G5" s="14">
        <v>22.484169999999999</v>
      </c>
      <c r="H5" s="14">
        <v>18.890229999999999</v>
      </c>
      <c r="I5" s="14">
        <v>0.79158740000000005</v>
      </c>
      <c r="J5" s="15" t="s">
        <v>25</v>
      </c>
      <c r="K5" s="15" t="s">
        <v>25</v>
      </c>
      <c r="L5" s="15" t="s">
        <v>25</v>
      </c>
      <c r="M5" s="15" t="s">
        <v>33</v>
      </c>
      <c r="P5" t="s">
        <v>29</v>
      </c>
      <c r="Q5" t="s">
        <v>30</v>
      </c>
      <c r="R5">
        <f>COUNTIF(J:J,$Q5)</f>
        <v>0</v>
      </c>
      <c r="S5">
        <f>COUNTIF(K:K,$Q5)</f>
        <v>0</v>
      </c>
      <c r="T5">
        <f>COUNTIF(L:L,$Q5)</f>
        <v>0</v>
      </c>
    </row>
    <row r="6" spans="1:21" ht="15" customHeight="1" x14ac:dyDescent="0.25">
      <c r="A6" s="14">
        <v>136</v>
      </c>
      <c r="B6" s="14">
        <v>6</v>
      </c>
      <c r="C6" s="14">
        <v>5</v>
      </c>
      <c r="D6" s="14">
        <v>-11404.3</v>
      </c>
      <c r="E6" s="14">
        <v>-2245.107</v>
      </c>
      <c r="F6" s="14">
        <v>2.0172599999999998</v>
      </c>
      <c r="G6" s="14">
        <v>3.1829999999999998</v>
      </c>
      <c r="H6" s="14">
        <v>7.0624700000000002</v>
      </c>
      <c r="I6" s="14">
        <v>0.80171440000000005</v>
      </c>
      <c r="J6" s="15" t="s">
        <v>25</v>
      </c>
      <c r="K6" s="15" t="s">
        <v>26</v>
      </c>
      <c r="L6" s="15" t="s">
        <v>25</v>
      </c>
      <c r="M6" s="15" t="s">
        <v>40</v>
      </c>
      <c r="P6" t="s">
        <v>22</v>
      </c>
      <c r="Q6" t="s">
        <v>25</v>
      </c>
      <c r="R6">
        <f>COUNTIF(J:J,$Q6)</f>
        <v>15</v>
      </c>
      <c r="S6">
        <f>COUNTIF(K:K,$Q6)</f>
        <v>6</v>
      </c>
      <c r="T6">
        <f>COUNTIF(L:L,$Q6)</f>
        <v>15</v>
      </c>
    </row>
    <row r="7" spans="1:21" ht="30" x14ac:dyDescent="0.25">
      <c r="A7" s="14">
        <v>142</v>
      </c>
      <c r="B7" s="14">
        <v>12</v>
      </c>
      <c r="C7" s="14">
        <v>5</v>
      </c>
      <c r="D7" s="14">
        <v>-11447.08</v>
      </c>
      <c r="E7" s="14">
        <v>-2238.73</v>
      </c>
      <c r="F7" s="14">
        <v>3.022694</v>
      </c>
      <c r="G7" s="14">
        <v>7.1702149999999998</v>
      </c>
      <c r="H7" s="14">
        <v>10.432040000000001</v>
      </c>
      <c r="I7" s="14">
        <v>0.82773319999999995</v>
      </c>
      <c r="J7" s="15" t="s">
        <v>25</v>
      </c>
      <c r="K7" s="15" t="s">
        <v>26</v>
      </c>
      <c r="L7" s="15" t="s">
        <v>25</v>
      </c>
      <c r="M7" s="15" t="s">
        <v>41</v>
      </c>
      <c r="P7" t="s">
        <v>21</v>
      </c>
      <c r="Q7" t="s">
        <v>26</v>
      </c>
      <c r="R7">
        <f>COUNTIF(J:J,$Q7)</f>
        <v>0</v>
      </c>
      <c r="S7">
        <f>COUNTIF(K:K,$Q7)</f>
        <v>7</v>
      </c>
      <c r="T7">
        <f>COUNTIF(L:L,$Q7)</f>
        <v>0</v>
      </c>
    </row>
    <row r="8" spans="1:21" ht="15" customHeight="1" x14ac:dyDescent="0.25">
      <c r="A8" s="14">
        <v>150</v>
      </c>
      <c r="B8" s="14">
        <v>20</v>
      </c>
      <c r="C8" s="14">
        <v>5</v>
      </c>
      <c r="D8" s="14">
        <v>-11392.55</v>
      </c>
      <c r="E8" s="14">
        <v>-2219.52</v>
      </c>
      <c r="F8" s="14">
        <v>5.024044</v>
      </c>
      <c r="G8" s="14">
        <v>20.113849999999999</v>
      </c>
      <c r="H8" s="14">
        <v>18.154260000000001</v>
      </c>
      <c r="I8" s="14">
        <v>0.76671590000000001</v>
      </c>
      <c r="J8" s="15" t="s">
        <v>25</v>
      </c>
      <c r="K8" s="15" t="s">
        <v>26</v>
      </c>
      <c r="L8" s="15" t="s">
        <v>25</v>
      </c>
      <c r="M8" s="15" t="s">
        <v>37</v>
      </c>
      <c r="P8" t="s">
        <v>23</v>
      </c>
      <c r="Q8" t="s">
        <v>27</v>
      </c>
      <c r="R8">
        <f>COUNTIF(J:J,$Q8)</f>
        <v>0</v>
      </c>
      <c r="S8">
        <f>COUNTIF(K:K,$Q8)</f>
        <v>1</v>
      </c>
      <c r="T8">
        <f>COUNTIF(L:L,$Q8)</f>
        <v>0</v>
      </c>
      <c r="U8" s="2"/>
    </row>
    <row r="9" spans="1:21" ht="30" x14ac:dyDescent="0.25">
      <c r="A9" s="14">
        <v>157</v>
      </c>
      <c r="B9" s="14">
        <v>27</v>
      </c>
      <c r="C9" s="14">
        <v>5</v>
      </c>
      <c r="D9" s="14">
        <v>-11453.79</v>
      </c>
      <c r="E9" s="14">
        <v>-2213.6239999999998</v>
      </c>
      <c r="F9" s="14">
        <v>5.9249470000000004</v>
      </c>
      <c r="G9" s="14">
        <v>26.95391</v>
      </c>
      <c r="H9" s="14">
        <v>21.40297</v>
      </c>
      <c r="I9" s="14">
        <v>0.73921380000000003</v>
      </c>
      <c r="J9" s="15" t="s">
        <v>25</v>
      </c>
      <c r="K9" s="15" t="s">
        <v>26</v>
      </c>
      <c r="L9" s="15" t="s">
        <v>25</v>
      </c>
      <c r="M9" s="15" t="s">
        <v>37</v>
      </c>
      <c r="P9" s="5" t="s">
        <v>16</v>
      </c>
      <c r="Q9" s="5"/>
      <c r="R9" s="6">
        <f>SUM(R2:R8)</f>
        <v>15</v>
      </c>
      <c r="S9" s="5">
        <f>SUM(S2:S8)</f>
        <v>15</v>
      </c>
      <c r="T9" s="5">
        <f>SUM(T2:T8)</f>
        <v>15</v>
      </c>
      <c r="U9" s="2"/>
    </row>
    <row r="10" spans="1:21" x14ac:dyDescent="0.25">
      <c r="A10" s="14">
        <v>158</v>
      </c>
      <c r="B10" s="14">
        <v>28</v>
      </c>
      <c r="C10" s="14">
        <v>5</v>
      </c>
      <c r="D10" s="14">
        <v>-11401.09</v>
      </c>
      <c r="E10" s="14">
        <v>-2211.1849999999999</v>
      </c>
      <c r="F10" s="14">
        <v>5.2059870000000004</v>
      </c>
      <c r="G10" s="14">
        <v>20.901129999999998</v>
      </c>
      <c r="H10" s="14">
        <v>18.598459999999999</v>
      </c>
      <c r="I10" s="14">
        <v>0.75912360000000001</v>
      </c>
      <c r="J10" s="15" t="s">
        <v>25</v>
      </c>
      <c r="K10" s="15" t="s">
        <v>13</v>
      </c>
      <c r="L10" s="15" t="s">
        <v>25</v>
      </c>
      <c r="M10" s="15" t="s">
        <v>35</v>
      </c>
      <c r="P10" s="5"/>
      <c r="Q10" s="5"/>
      <c r="R10" s="6"/>
      <c r="S10" s="5"/>
      <c r="T10" s="5"/>
    </row>
    <row r="11" spans="1:21" x14ac:dyDescent="0.25">
      <c r="A11" s="14">
        <v>159</v>
      </c>
      <c r="B11" s="14">
        <v>29</v>
      </c>
      <c r="C11" s="14">
        <v>5</v>
      </c>
      <c r="D11" s="14">
        <v>-11433.61</v>
      </c>
      <c r="E11" s="14">
        <v>-2208.1970000000001</v>
      </c>
      <c r="F11" s="14">
        <v>4.5333949999999996</v>
      </c>
      <c r="G11" s="14">
        <v>15.6441</v>
      </c>
      <c r="H11" s="14">
        <v>15.7493</v>
      </c>
      <c r="I11" s="14">
        <v>0.79236419999999996</v>
      </c>
      <c r="J11" s="15" t="s">
        <v>25</v>
      </c>
      <c r="K11" s="15" t="s">
        <v>25</v>
      </c>
      <c r="L11" s="15" t="s">
        <v>25</v>
      </c>
      <c r="M11" s="15" t="s">
        <v>34</v>
      </c>
    </row>
    <row r="12" spans="1:21" x14ac:dyDescent="0.25">
      <c r="A12" s="14">
        <v>165</v>
      </c>
      <c r="B12" s="14">
        <v>35</v>
      </c>
      <c r="C12" s="14">
        <v>5</v>
      </c>
      <c r="D12" s="14">
        <v>-11447.54</v>
      </c>
      <c r="E12" s="14">
        <v>-2194.0149999999999</v>
      </c>
      <c r="F12" s="14">
        <v>4.2378109999999998</v>
      </c>
      <c r="G12" s="14">
        <v>14.09493</v>
      </c>
      <c r="H12" s="14">
        <v>15.13419</v>
      </c>
      <c r="I12" s="14">
        <v>0.77310990000000002</v>
      </c>
      <c r="J12" s="15" t="s">
        <v>25</v>
      </c>
      <c r="K12" s="15" t="s">
        <v>25</v>
      </c>
      <c r="L12" s="15" t="s">
        <v>25</v>
      </c>
      <c r="M12" s="15" t="s">
        <v>36</v>
      </c>
    </row>
    <row r="13" spans="1:21" x14ac:dyDescent="0.25">
      <c r="A13" s="14">
        <v>185</v>
      </c>
      <c r="B13" s="14">
        <v>55</v>
      </c>
      <c r="C13" s="14">
        <v>5</v>
      </c>
      <c r="D13" s="14">
        <v>-11382.48</v>
      </c>
      <c r="E13" s="14">
        <v>-2139.7159999999999</v>
      </c>
      <c r="F13" s="14">
        <v>4.1534769999999996</v>
      </c>
      <c r="G13" s="14">
        <v>11.39446</v>
      </c>
      <c r="H13" s="14">
        <v>16.080290000000002</v>
      </c>
      <c r="I13" s="14">
        <v>0.55360779999999998</v>
      </c>
      <c r="J13" s="15" t="s">
        <v>25</v>
      </c>
      <c r="K13" s="15" t="s">
        <v>26</v>
      </c>
      <c r="L13" s="15" t="s">
        <v>25</v>
      </c>
      <c r="M13" s="15" t="s">
        <v>34</v>
      </c>
    </row>
    <row r="14" spans="1:21" x14ac:dyDescent="0.25">
      <c r="A14" s="14">
        <v>186</v>
      </c>
      <c r="B14" s="14">
        <v>1</v>
      </c>
      <c r="C14" s="14">
        <v>6</v>
      </c>
      <c r="D14" s="14">
        <v>-11287.67</v>
      </c>
      <c r="E14" s="14">
        <v>-2277.56</v>
      </c>
      <c r="F14" s="14">
        <v>0.80385490000000004</v>
      </c>
      <c r="G14" s="14">
        <v>0.2624282</v>
      </c>
      <c r="H14" s="14">
        <v>3.1540059999999999</v>
      </c>
      <c r="I14" s="14">
        <v>0.3314223</v>
      </c>
      <c r="J14" s="15" t="s">
        <v>25</v>
      </c>
      <c r="K14" s="15" t="s">
        <v>25</v>
      </c>
      <c r="L14" s="15" t="s">
        <v>25</v>
      </c>
      <c r="M14" s="15" t="s">
        <v>28</v>
      </c>
    </row>
    <row r="15" spans="1:21" x14ac:dyDescent="0.25">
      <c r="A15" s="14">
        <v>204</v>
      </c>
      <c r="B15" s="14">
        <v>19</v>
      </c>
      <c r="C15" s="14">
        <v>6</v>
      </c>
      <c r="D15" s="14">
        <v>-11323.12</v>
      </c>
      <c r="E15" s="14">
        <v>-2252.2069999999999</v>
      </c>
      <c r="F15" s="14">
        <v>3.2531379999999999</v>
      </c>
      <c r="G15" s="14">
        <v>8.1098769999999991</v>
      </c>
      <c r="H15" s="14">
        <v>10.93937</v>
      </c>
      <c r="I15" s="14">
        <v>0.85138559999999996</v>
      </c>
      <c r="J15" s="15" t="s">
        <v>25</v>
      </c>
      <c r="K15" s="15" t="s">
        <v>25</v>
      </c>
      <c r="L15" s="15" t="s">
        <v>25</v>
      </c>
      <c r="M15" s="15" t="s">
        <v>38</v>
      </c>
    </row>
    <row r="16" spans="1:21" ht="30" x14ac:dyDescent="0.25">
      <c r="A16" s="14">
        <v>227</v>
      </c>
      <c r="B16" s="14">
        <v>42</v>
      </c>
      <c r="C16" s="14">
        <v>6</v>
      </c>
      <c r="D16" s="14">
        <v>-11208.33</v>
      </c>
      <c r="E16" s="14">
        <v>-2216.9009999999998</v>
      </c>
      <c r="F16" s="14">
        <v>3.2814890000000001</v>
      </c>
      <c r="G16" s="14">
        <v>8.3638399999999997</v>
      </c>
      <c r="H16" s="14">
        <v>11.244210000000001</v>
      </c>
      <c r="I16" s="14">
        <v>0.83108199999999999</v>
      </c>
      <c r="J16" s="15" t="s">
        <v>25</v>
      </c>
      <c r="K16" s="15" t="s">
        <v>26</v>
      </c>
      <c r="L16" s="15" t="s">
        <v>25</v>
      </c>
      <c r="M16" s="15" t="s">
        <v>42</v>
      </c>
    </row>
  </sheetData>
  <sortState xmlns:xlrd2="http://schemas.microsoft.com/office/spreadsheetml/2017/richdata2" ref="A2:M20">
    <sortCondition ref="K1:K20"/>
  </sortState>
  <mergeCells count="4">
    <mergeCell ref="P9:Q10"/>
    <mergeCell ref="R9:R10"/>
    <mergeCell ref="S9:S10"/>
    <mergeCell ref="T9:T10"/>
  </mergeCells>
  <conditionalFormatting sqref="N2:U2 N3:Q4 R3:T9 P5:Q8 P9:P12 Q11:T12 D17:G26 C17:C33 A17:B1048576 D27:D28 G27:G28 D29:G31 F32:G33 C34:G34 D35:G51 C35:C189 D52:D53 G52:G104 D54:F64 D65:D104 D105:G113 F114:G117 D118:G165 D166:D168 G166:G168 D169:G186 F187:G189 C190:G1048576 A1:U1 H17:M1048576 E2:I13 U3:U12 F14:I15 H16:I16 E14:E16 B2:D16 J2:M16 P13:U1048576 V1:XFD1048576 N5:O1048576">
    <cfRule type="expression" dxfId="8" priority="5">
      <formula>OR(CELL(“col”)=COLUMN(),CELL(“row”)=ROW())</formula>
    </cfRule>
  </conditionalFormatting>
  <conditionalFormatting sqref="D32:E32">
    <cfRule type="expression" dxfId="7" priority="1">
      <formula>OR(CELL(“col”)=COLUMN(),CELL(“row”)=ROW())</formula>
    </cfRule>
  </conditionalFormatting>
  <conditionalFormatting sqref="E27:F27">
    <cfRule type="expression" dxfId="6" priority="2">
      <formula>OR(CELL(“col”)=COLUMN(),CELL(“row”)=ROW())</formula>
    </cfRule>
  </conditionalFormatting>
  <conditionalFormatting sqref="E52:F52">
    <cfRule type="expression" dxfId="5" priority="4">
      <formula>OR(CELL(“col”)=COLUMN(),CELL(“row”)=ROW())</formula>
    </cfRule>
  </conditionalFormatting>
  <conditionalFormatting sqref="E65:F100">
    <cfRule type="expression" dxfId="4" priority="3">
      <formula>OR(CELL(“col”)=COLUMN(),CELL(“row”)=ROW())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C310-3BB6-4174-8905-233EDD7843BB}">
  <dimension ref="A1:T610"/>
  <sheetViews>
    <sheetView tabSelected="1" topLeftCell="A108" workbookViewId="0">
      <selection activeCell="A125" sqref="A125:M139"/>
    </sheetView>
  </sheetViews>
  <sheetFormatPr defaultRowHeight="15" x14ac:dyDescent="0.25"/>
  <cols>
    <col min="8" max="8" width="10.5703125" customWidth="1"/>
    <col min="9" max="9" width="10.7109375" customWidth="1"/>
    <col min="13" max="13" width="16.85546875" customWidth="1"/>
    <col min="16" max="16" width="12.140625" customWidth="1"/>
    <col min="17" max="17" width="12.5703125" customWidth="1"/>
    <col min="18" max="18" width="12" bestFit="1" customWidth="1"/>
    <col min="19" max="19" width="14.28515625" bestFit="1" customWidth="1"/>
    <col min="20" max="20" width="14.7109375" bestFit="1" customWidth="1"/>
  </cols>
  <sheetData>
    <row r="1" spans="1:20" s="3" customFormat="1" ht="30" x14ac:dyDescent="0.25">
      <c r="A1" s="10" t="s">
        <v>8</v>
      </c>
      <c r="B1" s="10" t="s">
        <v>0</v>
      </c>
      <c r="C1" s="10" t="s">
        <v>7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17</v>
      </c>
      <c r="K1" s="10" t="s">
        <v>18</v>
      </c>
      <c r="L1" s="10" t="s">
        <v>19</v>
      </c>
      <c r="M1" s="10" t="s">
        <v>20</v>
      </c>
      <c r="P1" s="1" t="s">
        <v>9</v>
      </c>
      <c r="Q1" s="1" t="s">
        <v>24</v>
      </c>
      <c r="R1" s="1" t="s">
        <v>10</v>
      </c>
      <c r="S1" s="1" t="s">
        <v>11</v>
      </c>
      <c r="T1" s="1" t="s">
        <v>12</v>
      </c>
    </row>
    <row r="2" spans="1:20" x14ac:dyDescent="0.25">
      <c r="A2" s="8">
        <v>12</v>
      </c>
      <c r="B2" s="8">
        <v>12</v>
      </c>
      <c r="C2" s="8">
        <v>1</v>
      </c>
      <c r="D2" s="8" t="s">
        <v>32</v>
      </c>
      <c r="E2" s="8" t="s">
        <v>32</v>
      </c>
      <c r="F2" s="8" t="s">
        <v>32</v>
      </c>
      <c r="G2" s="8" t="s">
        <v>32</v>
      </c>
      <c r="H2" s="8" t="s">
        <v>32</v>
      </c>
      <c r="I2" s="8" t="s">
        <v>32</v>
      </c>
      <c r="J2" s="8" t="s">
        <v>13</v>
      </c>
      <c r="K2" s="8" t="s">
        <v>25</v>
      </c>
      <c r="L2" s="8" t="s">
        <v>25</v>
      </c>
      <c r="M2" s="8" t="s">
        <v>38</v>
      </c>
      <c r="P2" t="s">
        <v>13</v>
      </c>
      <c r="Q2" t="s">
        <v>13</v>
      </c>
      <c r="R2">
        <f t="shared" ref="R2:T7" si="0">COUNTIF(J:J,$Q2)</f>
        <v>13</v>
      </c>
      <c r="S2">
        <f t="shared" si="0"/>
        <v>2</v>
      </c>
      <c r="T2">
        <f t="shared" si="0"/>
        <v>0</v>
      </c>
    </row>
    <row r="3" spans="1:20" x14ac:dyDescent="0.25">
      <c r="A3" s="8">
        <v>14</v>
      </c>
      <c r="B3" s="8">
        <v>14</v>
      </c>
      <c r="C3" s="8">
        <v>1</v>
      </c>
      <c r="D3" s="8" t="s">
        <v>32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25</v>
      </c>
      <c r="K3" s="8" t="s">
        <v>25</v>
      </c>
      <c r="L3" s="8" t="s">
        <v>25</v>
      </c>
      <c r="M3" s="8" t="s">
        <v>28</v>
      </c>
      <c r="P3" t="s">
        <v>14</v>
      </c>
      <c r="Q3" t="s">
        <v>14</v>
      </c>
      <c r="R3">
        <f t="shared" si="0"/>
        <v>0</v>
      </c>
      <c r="S3">
        <f t="shared" si="0"/>
        <v>3</v>
      </c>
      <c r="T3">
        <f t="shared" si="0"/>
        <v>0</v>
      </c>
    </row>
    <row r="4" spans="1:20" x14ac:dyDescent="0.25">
      <c r="A4" s="8">
        <v>17</v>
      </c>
      <c r="B4" s="8">
        <v>17</v>
      </c>
      <c r="C4" s="8">
        <v>1</v>
      </c>
      <c r="D4" s="8" t="s">
        <v>32</v>
      </c>
      <c r="E4" s="8" t="s">
        <v>32</v>
      </c>
      <c r="F4" s="8" t="s">
        <v>32</v>
      </c>
      <c r="G4" s="8" t="s">
        <v>32</v>
      </c>
      <c r="H4" s="8" t="s">
        <v>32</v>
      </c>
      <c r="I4" s="8" t="s">
        <v>32</v>
      </c>
      <c r="J4" s="8" t="s">
        <v>15</v>
      </c>
      <c r="K4" s="8" t="s">
        <v>25</v>
      </c>
      <c r="L4" s="8" t="s">
        <v>25</v>
      </c>
      <c r="M4" s="8" t="s">
        <v>28</v>
      </c>
      <c r="P4" t="s">
        <v>15</v>
      </c>
      <c r="Q4" t="s">
        <v>15</v>
      </c>
      <c r="R4">
        <f t="shared" si="0"/>
        <v>11</v>
      </c>
      <c r="S4">
        <f t="shared" si="0"/>
        <v>1</v>
      </c>
      <c r="T4">
        <f t="shared" si="0"/>
        <v>1</v>
      </c>
    </row>
    <row r="5" spans="1:20" x14ac:dyDescent="0.25">
      <c r="A5" s="8">
        <v>26</v>
      </c>
      <c r="B5" s="8">
        <v>26</v>
      </c>
      <c r="C5" s="8">
        <v>1</v>
      </c>
      <c r="D5" s="8" t="s">
        <v>32</v>
      </c>
      <c r="E5" s="8" t="s">
        <v>32</v>
      </c>
      <c r="F5" s="8" t="s">
        <v>32</v>
      </c>
      <c r="G5" s="8" t="s">
        <v>32</v>
      </c>
      <c r="H5" s="8" t="s">
        <v>32</v>
      </c>
      <c r="I5" s="8" t="s">
        <v>32</v>
      </c>
      <c r="J5" s="8" t="s">
        <v>25</v>
      </c>
      <c r="K5" s="8" t="s">
        <v>25</v>
      </c>
      <c r="L5" s="8" t="s">
        <v>25</v>
      </c>
      <c r="M5" s="8" t="s">
        <v>28</v>
      </c>
      <c r="P5" t="s">
        <v>22</v>
      </c>
      <c r="Q5" t="s">
        <v>25</v>
      </c>
      <c r="R5">
        <f t="shared" si="0"/>
        <v>96</v>
      </c>
      <c r="S5">
        <f t="shared" si="0"/>
        <v>121</v>
      </c>
      <c r="T5">
        <f t="shared" si="0"/>
        <v>131</v>
      </c>
    </row>
    <row r="6" spans="1:20" ht="15" customHeight="1" x14ac:dyDescent="0.25">
      <c r="A6" s="8">
        <v>56</v>
      </c>
      <c r="B6" s="8">
        <v>56</v>
      </c>
      <c r="C6" s="8">
        <v>1</v>
      </c>
      <c r="D6" s="8" t="s">
        <v>32</v>
      </c>
      <c r="E6" s="8" t="s">
        <v>32</v>
      </c>
      <c r="F6" s="8" t="s">
        <v>32</v>
      </c>
      <c r="G6" s="8" t="s">
        <v>32</v>
      </c>
      <c r="H6" s="8" t="s">
        <v>32</v>
      </c>
      <c r="I6" s="8" t="s">
        <v>32</v>
      </c>
      <c r="J6" s="8" t="s">
        <v>25</v>
      </c>
      <c r="K6" s="8" t="s">
        <v>25</v>
      </c>
      <c r="L6" s="8" t="s">
        <v>25</v>
      </c>
      <c r="M6" s="8" t="s">
        <v>43</v>
      </c>
      <c r="P6" t="s">
        <v>21</v>
      </c>
      <c r="Q6" t="s">
        <v>26</v>
      </c>
      <c r="R6">
        <f t="shared" si="0"/>
        <v>8</v>
      </c>
      <c r="S6">
        <f t="shared" si="0"/>
        <v>10</v>
      </c>
      <c r="T6">
        <f t="shared" si="0"/>
        <v>6</v>
      </c>
    </row>
    <row r="7" spans="1:20" x14ac:dyDescent="0.25">
      <c r="A7" s="8">
        <v>57</v>
      </c>
      <c r="B7" s="8">
        <v>57</v>
      </c>
      <c r="C7" s="8">
        <v>1</v>
      </c>
      <c r="D7" s="8" t="s">
        <v>32</v>
      </c>
      <c r="E7" s="8" t="s">
        <v>32</v>
      </c>
      <c r="F7" s="8" t="s">
        <v>32</v>
      </c>
      <c r="G7" s="8" t="s">
        <v>32</v>
      </c>
      <c r="H7" s="8" t="s">
        <v>32</v>
      </c>
      <c r="I7" s="8" t="s">
        <v>32</v>
      </c>
      <c r="J7" s="8" t="s">
        <v>25</v>
      </c>
      <c r="K7" s="8" t="s">
        <v>25</v>
      </c>
      <c r="L7" s="8" t="s">
        <v>25</v>
      </c>
      <c r="M7" s="8" t="s">
        <v>44</v>
      </c>
      <c r="P7" t="s">
        <v>23</v>
      </c>
      <c r="Q7" t="s">
        <v>27</v>
      </c>
      <c r="R7">
        <f t="shared" si="0"/>
        <v>5</v>
      </c>
      <c r="S7">
        <f t="shared" si="0"/>
        <v>1</v>
      </c>
      <c r="T7">
        <f t="shared" si="0"/>
        <v>0</v>
      </c>
    </row>
    <row r="8" spans="1:20" ht="15" customHeight="1" x14ac:dyDescent="0.25">
      <c r="A8" s="8">
        <v>86</v>
      </c>
      <c r="B8" s="8">
        <v>86</v>
      </c>
      <c r="C8" s="8">
        <v>1</v>
      </c>
      <c r="D8" s="8" t="s">
        <v>32</v>
      </c>
      <c r="E8" s="8" t="s">
        <v>32</v>
      </c>
      <c r="F8" s="8" t="s">
        <v>32</v>
      </c>
      <c r="G8" s="8" t="s">
        <v>32</v>
      </c>
      <c r="H8" s="8" t="s">
        <v>32</v>
      </c>
      <c r="I8" s="8" t="s">
        <v>32</v>
      </c>
      <c r="J8" s="8" t="s">
        <v>25</v>
      </c>
      <c r="K8" s="8" t="s">
        <v>26</v>
      </c>
      <c r="L8" s="8" t="s">
        <v>26</v>
      </c>
      <c r="M8" s="8" t="s">
        <v>45</v>
      </c>
      <c r="P8" s="5" t="s">
        <v>16</v>
      </c>
      <c r="Q8" s="5"/>
      <c r="R8" s="6">
        <f>SUM(R2:R7)</f>
        <v>133</v>
      </c>
      <c r="S8" s="6">
        <f>SUM(S2:S7)</f>
        <v>138</v>
      </c>
      <c r="T8" s="6">
        <f>SUM(T2:T7)</f>
        <v>138</v>
      </c>
    </row>
    <row r="9" spans="1:20" x14ac:dyDescent="0.25">
      <c r="A9" s="8">
        <v>136</v>
      </c>
      <c r="B9" s="8">
        <v>7</v>
      </c>
      <c r="C9" s="8">
        <v>2</v>
      </c>
      <c r="D9" s="8">
        <v>11583.01</v>
      </c>
      <c r="E9" s="8">
        <v>1769.825</v>
      </c>
      <c r="F9" s="8">
        <v>2.0408810000000002</v>
      </c>
      <c r="G9" s="8">
        <v>3.29305</v>
      </c>
      <c r="H9" s="8">
        <v>6.7706999999999997</v>
      </c>
      <c r="I9" s="8">
        <v>0.90245940000000002</v>
      </c>
      <c r="J9" s="8" t="s">
        <v>25</v>
      </c>
      <c r="K9" s="8" t="s">
        <v>25</v>
      </c>
      <c r="L9" s="8" t="s">
        <v>25</v>
      </c>
      <c r="M9" s="8" t="s">
        <v>46</v>
      </c>
      <c r="P9" s="5"/>
      <c r="Q9" s="5"/>
      <c r="R9" s="6"/>
      <c r="S9" s="6"/>
      <c r="T9" s="6"/>
    </row>
    <row r="10" spans="1:20" x14ac:dyDescent="0.25">
      <c r="A10" s="8">
        <v>142</v>
      </c>
      <c r="B10" s="8">
        <v>13</v>
      </c>
      <c r="C10" s="8">
        <v>2</v>
      </c>
      <c r="D10" s="8">
        <v>11509.75</v>
      </c>
      <c r="E10" s="8">
        <v>1779.3820000000001</v>
      </c>
      <c r="F10" s="8">
        <v>3.483406</v>
      </c>
      <c r="G10" s="8">
        <v>9.4643449999999998</v>
      </c>
      <c r="H10" s="8">
        <v>11.567550000000001</v>
      </c>
      <c r="I10" s="8">
        <v>0.88859520000000003</v>
      </c>
      <c r="J10" s="8" t="s">
        <v>25</v>
      </c>
      <c r="K10" s="8" t="s">
        <v>25</v>
      </c>
      <c r="L10" s="8" t="s">
        <v>25</v>
      </c>
      <c r="M10" s="8" t="s">
        <v>38</v>
      </c>
    </row>
    <row r="11" spans="1:20" x14ac:dyDescent="0.25">
      <c r="A11" s="8">
        <v>161</v>
      </c>
      <c r="B11" s="8">
        <v>32</v>
      </c>
      <c r="C11" s="8">
        <v>2</v>
      </c>
      <c r="D11" s="8">
        <v>11531.25</v>
      </c>
      <c r="E11" s="8">
        <v>1817.6410000000001</v>
      </c>
      <c r="F11" s="8">
        <v>2.7896019999999999</v>
      </c>
      <c r="G11" s="8">
        <v>6.1543640000000002</v>
      </c>
      <c r="H11" s="8">
        <v>9.435867</v>
      </c>
      <c r="I11" s="8">
        <v>0.86839219999999995</v>
      </c>
      <c r="J11" s="8" t="s">
        <v>25</v>
      </c>
      <c r="K11" s="8" t="s">
        <v>25</v>
      </c>
      <c r="L11" s="8" t="s">
        <v>25</v>
      </c>
      <c r="M11" s="8" t="s">
        <v>38</v>
      </c>
    </row>
    <row r="12" spans="1:20" x14ac:dyDescent="0.25">
      <c r="A12" s="8">
        <v>217</v>
      </c>
      <c r="B12" s="8">
        <v>22</v>
      </c>
      <c r="C12" s="8">
        <v>3</v>
      </c>
      <c r="D12" s="8">
        <v>11258.99</v>
      </c>
      <c r="E12" s="8">
        <v>2610.5230000000001</v>
      </c>
      <c r="F12" s="8">
        <v>3.5980780000000001</v>
      </c>
      <c r="G12" s="8">
        <v>10.42094</v>
      </c>
      <c r="H12" s="8">
        <v>12.90014</v>
      </c>
      <c r="I12" s="8">
        <v>0.78670980000000001</v>
      </c>
      <c r="J12" s="8" t="s">
        <v>25</v>
      </c>
      <c r="K12" s="8" t="s">
        <v>25</v>
      </c>
      <c r="L12" s="8" t="s">
        <v>25</v>
      </c>
      <c r="M12" s="8" t="s">
        <v>46</v>
      </c>
    </row>
    <row r="13" spans="1:20" x14ac:dyDescent="0.25">
      <c r="A13" s="8">
        <v>218</v>
      </c>
      <c r="B13" s="8">
        <v>23</v>
      </c>
      <c r="C13" s="8">
        <v>3</v>
      </c>
      <c r="D13" s="8">
        <v>11363.79</v>
      </c>
      <c r="E13" s="8">
        <v>2611.1779999999999</v>
      </c>
      <c r="F13" s="8">
        <v>2.3662830000000001</v>
      </c>
      <c r="G13" s="8">
        <v>4.2327120000000003</v>
      </c>
      <c r="H13" s="8">
        <v>7.8430799999999996</v>
      </c>
      <c r="I13" s="8">
        <v>0.8644539</v>
      </c>
      <c r="J13" s="8" t="s">
        <v>27</v>
      </c>
      <c r="K13" s="8" t="s">
        <v>25</v>
      </c>
      <c r="L13" s="8" t="s">
        <v>25</v>
      </c>
      <c r="M13" s="8" t="s">
        <v>28</v>
      </c>
    </row>
    <row r="14" spans="1:20" x14ac:dyDescent="0.25">
      <c r="A14" s="8">
        <v>226</v>
      </c>
      <c r="B14" s="8">
        <v>31</v>
      </c>
      <c r="C14" s="8">
        <v>3</v>
      </c>
      <c r="D14" s="8">
        <v>11303.99</v>
      </c>
      <c r="E14" s="8">
        <v>2615.2350000000001</v>
      </c>
      <c r="F14" s="8">
        <v>3.122582</v>
      </c>
      <c r="G14" s="8">
        <v>7.5257630000000004</v>
      </c>
      <c r="H14" s="8">
        <v>10.539820000000001</v>
      </c>
      <c r="I14" s="8">
        <v>0.85110050000000004</v>
      </c>
      <c r="J14" s="8" t="s">
        <v>25</v>
      </c>
      <c r="K14" s="8" t="s">
        <v>25</v>
      </c>
      <c r="L14" s="8" t="s">
        <v>25</v>
      </c>
      <c r="M14" s="8" t="s">
        <v>47</v>
      </c>
    </row>
    <row r="15" spans="1:20" x14ac:dyDescent="0.25">
      <c r="A15" s="8">
        <v>267</v>
      </c>
      <c r="B15" s="8">
        <v>72</v>
      </c>
      <c r="C15" s="8">
        <v>3</v>
      </c>
      <c r="D15" s="8">
        <v>11280.43</v>
      </c>
      <c r="E15" s="8">
        <v>2638.087</v>
      </c>
      <c r="F15" s="8">
        <v>3.0947399999999998</v>
      </c>
      <c r="G15" s="8">
        <v>7.4241780000000004</v>
      </c>
      <c r="H15" s="8">
        <v>10.755369999999999</v>
      </c>
      <c r="I15" s="8">
        <v>0.80629430000000002</v>
      </c>
      <c r="J15" s="8" t="s">
        <v>25</v>
      </c>
      <c r="K15" s="8" t="s">
        <v>25</v>
      </c>
      <c r="L15" s="8" t="s">
        <v>25</v>
      </c>
      <c r="M15" s="8" t="s">
        <v>28</v>
      </c>
    </row>
    <row r="16" spans="1:20" x14ac:dyDescent="0.25">
      <c r="A16" s="8">
        <v>287</v>
      </c>
      <c r="B16" s="8">
        <v>6</v>
      </c>
      <c r="C16" s="8">
        <v>4</v>
      </c>
      <c r="D16" s="8">
        <v>13042.14</v>
      </c>
      <c r="E16" s="8">
        <v>2933.6060000000002</v>
      </c>
      <c r="F16" s="8">
        <v>1.7663249999999999</v>
      </c>
      <c r="G16" s="8">
        <v>2.311061</v>
      </c>
      <c r="H16" s="8">
        <v>6.5551399999999997</v>
      </c>
      <c r="I16" s="8">
        <v>0.67568430000000002</v>
      </c>
      <c r="J16" s="8" t="s">
        <v>25</v>
      </c>
      <c r="K16" s="8" t="s">
        <v>25</v>
      </c>
      <c r="L16" s="8" t="s">
        <v>25</v>
      </c>
      <c r="M16" s="8" t="s">
        <v>38</v>
      </c>
    </row>
    <row r="17" spans="1:13" x14ac:dyDescent="0.25">
      <c r="A17" s="8">
        <v>290</v>
      </c>
      <c r="B17" s="8">
        <v>9</v>
      </c>
      <c r="C17" s="8">
        <v>4</v>
      </c>
      <c r="D17" s="8">
        <v>13042.09</v>
      </c>
      <c r="E17" s="8">
        <v>2937.5239999999999</v>
      </c>
      <c r="F17" s="8">
        <v>1.7146939999999999</v>
      </c>
      <c r="G17" s="8">
        <v>2.1586829999999999</v>
      </c>
      <c r="H17" s="8">
        <v>5.9269540000000003</v>
      </c>
      <c r="I17" s="8">
        <v>0.77200880000000005</v>
      </c>
      <c r="J17" s="8" t="s">
        <v>25</v>
      </c>
      <c r="K17" s="8" t="s">
        <v>25</v>
      </c>
      <c r="L17" s="8" t="s">
        <v>25</v>
      </c>
      <c r="M17" s="8" t="s">
        <v>38</v>
      </c>
    </row>
    <row r="18" spans="1:13" x14ac:dyDescent="0.25">
      <c r="A18" s="8">
        <v>292</v>
      </c>
      <c r="B18" s="8">
        <v>11</v>
      </c>
      <c r="C18" s="8">
        <v>4</v>
      </c>
      <c r="D18" s="8">
        <v>13010.84</v>
      </c>
      <c r="E18" s="8">
        <v>2938.846</v>
      </c>
      <c r="F18" s="8">
        <v>1.7216910000000001</v>
      </c>
      <c r="G18" s="8">
        <v>2.4295770000000001</v>
      </c>
      <c r="H18" s="8">
        <v>6.5104959999999998</v>
      </c>
      <c r="I18" s="8">
        <v>0.72011009999999998</v>
      </c>
      <c r="J18" s="8" t="s">
        <v>25</v>
      </c>
      <c r="K18" s="8" t="s">
        <v>25</v>
      </c>
      <c r="L18" s="8" t="s">
        <v>25</v>
      </c>
      <c r="M18" s="8" t="s">
        <v>36</v>
      </c>
    </row>
    <row r="19" spans="1:13" x14ac:dyDescent="0.25">
      <c r="A19" s="8">
        <v>296</v>
      </c>
      <c r="B19" s="8">
        <v>15</v>
      </c>
      <c r="C19" s="8">
        <v>4</v>
      </c>
      <c r="D19" s="8">
        <v>13018.95</v>
      </c>
      <c r="E19" s="8">
        <v>2941.482</v>
      </c>
      <c r="F19" s="8">
        <v>2.392925</v>
      </c>
      <c r="G19" s="8">
        <v>4.4612790000000002</v>
      </c>
      <c r="H19" s="8">
        <v>8.0270709999999994</v>
      </c>
      <c r="I19" s="8">
        <v>0.86984430000000001</v>
      </c>
      <c r="J19" s="8" t="s">
        <v>25</v>
      </c>
      <c r="K19" s="8" t="s">
        <v>25</v>
      </c>
      <c r="L19" s="8" t="s">
        <v>25</v>
      </c>
      <c r="M19" s="8" t="s">
        <v>46</v>
      </c>
    </row>
    <row r="20" spans="1:13" x14ac:dyDescent="0.25">
      <c r="A20" s="8">
        <v>297</v>
      </c>
      <c r="B20" s="8">
        <v>16</v>
      </c>
      <c r="C20" s="8">
        <v>4</v>
      </c>
      <c r="D20" s="8">
        <v>12968.28</v>
      </c>
      <c r="E20" s="8">
        <v>2941.2669999999998</v>
      </c>
      <c r="F20" s="8">
        <v>2.6977660000000001</v>
      </c>
      <c r="G20" s="8">
        <v>5.8242130000000003</v>
      </c>
      <c r="H20" s="8">
        <v>9.512079</v>
      </c>
      <c r="I20" s="8">
        <v>0.8086911</v>
      </c>
      <c r="J20" s="8" t="s">
        <v>25</v>
      </c>
      <c r="K20" s="8" t="s">
        <v>25</v>
      </c>
      <c r="L20" s="8" t="s">
        <v>25</v>
      </c>
      <c r="M20" s="8" t="s">
        <v>48</v>
      </c>
    </row>
    <row r="21" spans="1:13" x14ac:dyDescent="0.25">
      <c r="A21" s="8">
        <v>298</v>
      </c>
      <c r="B21" s="8">
        <v>17</v>
      </c>
      <c r="C21" s="8">
        <v>4</v>
      </c>
      <c r="D21" s="8">
        <v>12916.74</v>
      </c>
      <c r="E21" s="8">
        <v>2941.587</v>
      </c>
      <c r="F21" s="8">
        <v>2.573423</v>
      </c>
      <c r="G21" s="8">
        <v>5.1639090000000003</v>
      </c>
      <c r="H21" s="8">
        <v>9.0994519999999994</v>
      </c>
      <c r="I21" s="8">
        <v>0.78350989999999998</v>
      </c>
      <c r="J21" s="8" t="s">
        <v>15</v>
      </c>
      <c r="K21" s="8" t="s">
        <v>25</v>
      </c>
      <c r="L21" s="8" t="s">
        <v>25</v>
      </c>
      <c r="M21" s="8" t="s">
        <v>49</v>
      </c>
    </row>
    <row r="22" spans="1:13" x14ac:dyDescent="0.25">
      <c r="A22" s="8">
        <v>299</v>
      </c>
      <c r="B22" s="8">
        <v>18</v>
      </c>
      <c r="C22" s="8">
        <v>4</v>
      </c>
      <c r="D22" s="8">
        <v>13041.81</v>
      </c>
      <c r="E22" s="8">
        <v>2942.123</v>
      </c>
      <c r="F22" s="8">
        <v>2.6896819999999999</v>
      </c>
      <c r="G22" s="8">
        <v>5.1977710000000004</v>
      </c>
      <c r="H22" s="8">
        <v>9.3411639999999991</v>
      </c>
      <c r="I22" s="8">
        <v>0.74836179999999997</v>
      </c>
      <c r="J22" s="8" t="s">
        <v>13</v>
      </c>
      <c r="K22" s="8" t="s">
        <v>25</v>
      </c>
      <c r="L22" s="8" t="s">
        <v>25</v>
      </c>
      <c r="M22" s="8" t="s">
        <v>38</v>
      </c>
    </row>
    <row r="23" spans="1:13" x14ac:dyDescent="0.25">
      <c r="A23" s="8">
        <v>300</v>
      </c>
      <c r="B23" s="8">
        <v>19</v>
      </c>
      <c r="C23" s="8">
        <v>4</v>
      </c>
      <c r="D23" s="8">
        <v>13020.97</v>
      </c>
      <c r="E23" s="8">
        <v>2943.4789999999998</v>
      </c>
      <c r="F23" s="8">
        <v>1.46062</v>
      </c>
      <c r="G23" s="8">
        <v>1.4729840000000001</v>
      </c>
      <c r="H23" s="8">
        <v>4.7652859999999997</v>
      </c>
      <c r="I23" s="8">
        <v>0.81492290000000001</v>
      </c>
      <c r="J23" s="8" t="s">
        <v>13</v>
      </c>
      <c r="K23" s="8" t="s">
        <v>25</v>
      </c>
      <c r="L23" s="8" t="s">
        <v>25</v>
      </c>
      <c r="M23" s="8" t="s">
        <v>46</v>
      </c>
    </row>
    <row r="24" spans="1:13" x14ac:dyDescent="0.25">
      <c r="A24" s="8">
        <v>305</v>
      </c>
      <c r="B24" s="8">
        <v>24</v>
      </c>
      <c r="C24" s="8">
        <v>4</v>
      </c>
      <c r="D24" s="8">
        <v>12928.5</v>
      </c>
      <c r="E24" s="8">
        <v>2948.4430000000002</v>
      </c>
      <c r="F24" s="8">
        <v>1.5389139999999999</v>
      </c>
      <c r="G24" s="8">
        <v>1.836997</v>
      </c>
      <c r="H24" s="8">
        <v>5.254124</v>
      </c>
      <c r="I24" s="8">
        <v>0.83599610000000002</v>
      </c>
      <c r="J24" s="8" t="s">
        <v>15</v>
      </c>
      <c r="K24" s="8" t="s">
        <v>25</v>
      </c>
      <c r="L24" s="8" t="s">
        <v>25</v>
      </c>
      <c r="M24" s="8" t="s">
        <v>28</v>
      </c>
    </row>
    <row r="25" spans="1:13" x14ac:dyDescent="0.25">
      <c r="A25" s="8">
        <v>309</v>
      </c>
      <c r="B25" s="8">
        <v>28</v>
      </c>
      <c r="C25" s="8">
        <v>4</v>
      </c>
      <c r="D25" s="8">
        <v>12967.52</v>
      </c>
      <c r="E25" s="8">
        <v>2949.6640000000002</v>
      </c>
      <c r="F25" s="8">
        <v>2.1736490000000002</v>
      </c>
      <c r="G25" s="8">
        <v>3.707856</v>
      </c>
      <c r="H25" s="8">
        <v>7.538233</v>
      </c>
      <c r="I25" s="8">
        <v>0.81974760000000002</v>
      </c>
      <c r="J25" s="8" t="s">
        <v>13</v>
      </c>
      <c r="K25" s="8" t="s">
        <v>25</v>
      </c>
      <c r="L25" s="8" t="s">
        <v>25</v>
      </c>
      <c r="M25" s="8" t="s">
        <v>33</v>
      </c>
    </row>
    <row r="26" spans="1:13" x14ac:dyDescent="0.25">
      <c r="A26" s="8">
        <v>310</v>
      </c>
      <c r="B26" s="8">
        <v>29</v>
      </c>
      <c r="C26" s="8">
        <v>4</v>
      </c>
      <c r="D26" s="8">
        <v>12889.22</v>
      </c>
      <c r="E26" s="8">
        <v>2951.6329999999998</v>
      </c>
      <c r="F26" s="8">
        <v>0.88275360000000003</v>
      </c>
      <c r="G26" s="8">
        <v>0.60951060000000001</v>
      </c>
      <c r="H26" s="8">
        <v>2.9253710000000002</v>
      </c>
      <c r="I26" s="8">
        <v>0.89477879999999999</v>
      </c>
      <c r="J26" s="8" t="s">
        <v>15</v>
      </c>
      <c r="K26" s="8" t="s">
        <v>25</v>
      </c>
      <c r="L26" s="8" t="s">
        <v>25</v>
      </c>
      <c r="M26" s="8" t="s">
        <v>36</v>
      </c>
    </row>
    <row r="27" spans="1:13" x14ac:dyDescent="0.25">
      <c r="A27" s="8">
        <v>311</v>
      </c>
      <c r="B27" s="8">
        <v>30</v>
      </c>
      <c r="C27" s="8">
        <v>4</v>
      </c>
      <c r="D27" s="8">
        <v>12883.06</v>
      </c>
      <c r="E27" s="8">
        <v>2952.0149999999999</v>
      </c>
      <c r="F27" s="8">
        <v>1.0115780000000001</v>
      </c>
      <c r="G27" s="8">
        <v>0.75342279999999995</v>
      </c>
      <c r="H27" s="8">
        <v>3.4773450000000001</v>
      </c>
      <c r="I27" s="8">
        <v>0.78277960000000002</v>
      </c>
      <c r="J27" s="8" t="s">
        <v>25</v>
      </c>
      <c r="K27" s="8" t="s">
        <v>25</v>
      </c>
      <c r="L27" s="8" t="s">
        <v>25</v>
      </c>
      <c r="M27" s="8" t="s">
        <v>51</v>
      </c>
    </row>
    <row r="28" spans="1:13" x14ac:dyDescent="0.25">
      <c r="A28" s="8">
        <v>324</v>
      </c>
      <c r="B28" s="8">
        <v>43</v>
      </c>
      <c r="C28" s="8">
        <v>4</v>
      </c>
      <c r="D28" s="8">
        <v>12894.31</v>
      </c>
      <c r="E28" s="8">
        <v>2958.1489999999999</v>
      </c>
      <c r="F28" s="8">
        <v>1.9929190000000001</v>
      </c>
      <c r="G28" s="8">
        <v>3.191465</v>
      </c>
      <c r="H28" s="8">
        <v>7.2018180000000003</v>
      </c>
      <c r="I28" s="8">
        <v>0.77304039999999996</v>
      </c>
      <c r="J28" s="8" t="s">
        <v>25</v>
      </c>
      <c r="K28" s="8" t="s">
        <v>25</v>
      </c>
      <c r="L28" s="8" t="s">
        <v>25</v>
      </c>
      <c r="M28" s="8" t="s">
        <v>38</v>
      </c>
    </row>
    <row r="29" spans="1:13" x14ac:dyDescent="0.25">
      <c r="A29" s="8">
        <v>325</v>
      </c>
      <c r="B29" s="8">
        <v>44</v>
      </c>
      <c r="C29" s="8">
        <v>4</v>
      </c>
      <c r="D29" s="8">
        <v>13006.36</v>
      </c>
      <c r="E29" s="8">
        <v>2958.3989999999999</v>
      </c>
      <c r="F29" s="8">
        <v>3.0264690000000001</v>
      </c>
      <c r="G29" s="8">
        <v>7.5850210000000002</v>
      </c>
      <c r="H29" s="8">
        <v>10.61603</v>
      </c>
      <c r="I29" s="8">
        <v>0.84553009999999995</v>
      </c>
      <c r="J29" s="8" t="s">
        <v>27</v>
      </c>
      <c r="K29" s="8" t="s">
        <v>25</v>
      </c>
      <c r="L29" s="8" t="s">
        <v>25</v>
      </c>
      <c r="M29" s="8" t="s">
        <v>38</v>
      </c>
    </row>
    <row r="30" spans="1:13" x14ac:dyDescent="0.25">
      <c r="A30" s="8">
        <v>331</v>
      </c>
      <c r="B30" s="8">
        <v>50</v>
      </c>
      <c r="C30" s="8">
        <v>4</v>
      </c>
      <c r="D30" s="8">
        <v>12994.03</v>
      </c>
      <c r="E30" s="8">
        <v>2961.4169999999999</v>
      </c>
      <c r="F30" s="8">
        <v>5.2013980000000002</v>
      </c>
      <c r="G30" s="8">
        <v>18.530819999999999</v>
      </c>
      <c r="H30" s="8">
        <v>20.527660000000001</v>
      </c>
      <c r="I30" s="8">
        <v>0.55247440000000003</v>
      </c>
      <c r="J30" s="8" t="s">
        <v>25</v>
      </c>
      <c r="K30" s="8" t="s">
        <v>25</v>
      </c>
      <c r="L30" s="8" t="s">
        <v>25</v>
      </c>
      <c r="M30" s="8" t="s">
        <v>33</v>
      </c>
    </row>
    <row r="31" spans="1:13" x14ac:dyDescent="0.25">
      <c r="A31" s="8">
        <v>345</v>
      </c>
      <c r="B31" s="8">
        <v>64</v>
      </c>
      <c r="C31" s="8">
        <v>4</v>
      </c>
      <c r="D31" s="8">
        <v>12925.13</v>
      </c>
      <c r="E31" s="8">
        <v>2968.6439999999998</v>
      </c>
      <c r="F31" s="8">
        <v>3.2028379999999999</v>
      </c>
      <c r="G31" s="8">
        <v>7.9067069999999999</v>
      </c>
      <c r="H31" s="8">
        <v>10.76845</v>
      </c>
      <c r="I31" s="8">
        <v>0.85661469999999995</v>
      </c>
      <c r="J31" s="8" t="s">
        <v>15</v>
      </c>
      <c r="K31" s="8" t="s">
        <v>25</v>
      </c>
      <c r="L31" s="8" t="s">
        <v>25</v>
      </c>
      <c r="M31" s="8" t="s">
        <v>28</v>
      </c>
    </row>
    <row r="32" spans="1:13" x14ac:dyDescent="0.25">
      <c r="A32" s="8">
        <v>350</v>
      </c>
      <c r="B32" s="8">
        <v>69</v>
      </c>
      <c r="C32" s="8">
        <v>4</v>
      </c>
      <c r="D32" s="8">
        <v>12942.89</v>
      </c>
      <c r="E32" s="8">
        <v>2972.223</v>
      </c>
      <c r="F32" s="8">
        <v>2.5637319999999999</v>
      </c>
      <c r="G32" s="8">
        <v>5.3078209999999997</v>
      </c>
      <c r="H32" s="8">
        <v>8.8708170000000006</v>
      </c>
      <c r="I32" s="8">
        <v>0.84739410000000004</v>
      </c>
      <c r="J32" s="8" t="s">
        <v>13</v>
      </c>
      <c r="K32" s="8" t="s">
        <v>25</v>
      </c>
      <c r="L32" s="8" t="s">
        <v>25</v>
      </c>
      <c r="M32" s="8" t="s">
        <v>38</v>
      </c>
    </row>
    <row r="33" spans="1:13" x14ac:dyDescent="0.25">
      <c r="A33" s="8">
        <v>357</v>
      </c>
      <c r="B33" s="8">
        <v>76</v>
      </c>
      <c r="C33" s="8">
        <v>4</v>
      </c>
      <c r="D33" s="8">
        <v>12970</v>
      </c>
      <c r="E33" s="8">
        <v>2975.9569999999999</v>
      </c>
      <c r="F33" s="8">
        <v>3.3272400000000002</v>
      </c>
      <c r="G33" s="8">
        <v>8.3045819999999999</v>
      </c>
      <c r="H33" s="8">
        <v>11.599119999999999</v>
      </c>
      <c r="I33" s="8">
        <v>0.77546820000000005</v>
      </c>
      <c r="J33" s="8" t="s">
        <v>15</v>
      </c>
      <c r="K33" s="8" t="s">
        <v>25</v>
      </c>
      <c r="L33" s="8" t="s">
        <v>25</v>
      </c>
      <c r="M33" s="8" t="s">
        <v>28</v>
      </c>
    </row>
    <row r="34" spans="1:13" x14ac:dyDescent="0.25">
      <c r="A34" s="8">
        <v>358</v>
      </c>
      <c r="B34" s="8">
        <v>77</v>
      </c>
      <c r="C34" s="8">
        <v>4</v>
      </c>
      <c r="D34" s="8">
        <v>12964.66</v>
      </c>
      <c r="E34" s="8">
        <v>2977.7779999999998</v>
      </c>
      <c r="F34" s="8">
        <v>2.176898</v>
      </c>
      <c r="G34" s="8">
        <v>3.7247870000000001</v>
      </c>
      <c r="H34" s="8">
        <v>7.4750969999999999</v>
      </c>
      <c r="I34" s="8">
        <v>0.83746010000000004</v>
      </c>
      <c r="J34" s="8" t="s">
        <v>25</v>
      </c>
      <c r="K34" s="8" t="s">
        <v>25</v>
      </c>
      <c r="L34" s="8" t="s">
        <v>25</v>
      </c>
      <c r="M34" s="8" t="s">
        <v>52</v>
      </c>
    </row>
    <row r="35" spans="1:13" x14ac:dyDescent="0.25">
      <c r="A35" s="8">
        <v>359</v>
      </c>
      <c r="B35" s="8">
        <v>78</v>
      </c>
      <c r="C35" s="8">
        <v>4</v>
      </c>
      <c r="D35" s="8">
        <v>12891.28</v>
      </c>
      <c r="E35" s="8">
        <v>2978.4470000000001</v>
      </c>
      <c r="F35" s="8">
        <v>1.506194</v>
      </c>
      <c r="G35" s="8">
        <v>1.726947</v>
      </c>
      <c r="H35" s="8">
        <v>5.0254890000000003</v>
      </c>
      <c r="I35" s="8">
        <v>0.85905050000000005</v>
      </c>
      <c r="J35" s="8" t="s">
        <v>25</v>
      </c>
      <c r="K35" s="8" t="s">
        <v>25</v>
      </c>
      <c r="L35" s="8" t="s">
        <v>25</v>
      </c>
      <c r="M35" s="8" t="s">
        <v>38</v>
      </c>
    </row>
    <row r="36" spans="1:13" x14ac:dyDescent="0.25">
      <c r="A36" s="8">
        <v>361</v>
      </c>
      <c r="B36" s="8">
        <v>80</v>
      </c>
      <c r="C36" s="8">
        <v>4</v>
      </c>
      <c r="D36" s="8">
        <v>12967.55</v>
      </c>
      <c r="E36" s="8">
        <v>2979.17</v>
      </c>
      <c r="F36" s="8">
        <v>1.9588319999999999</v>
      </c>
      <c r="G36" s="8">
        <v>3.08988</v>
      </c>
      <c r="H36" s="8">
        <v>6.7706999999999997</v>
      </c>
      <c r="I36" s="8">
        <v>0.84678070000000005</v>
      </c>
      <c r="J36" s="8" t="s">
        <v>25</v>
      </c>
      <c r="K36" s="8" t="s">
        <v>25</v>
      </c>
      <c r="L36" s="8" t="s">
        <v>25</v>
      </c>
      <c r="M36" s="8" t="s">
        <v>38</v>
      </c>
    </row>
    <row r="37" spans="1:13" x14ac:dyDescent="0.25">
      <c r="A37" s="8">
        <v>366</v>
      </c>
      <c r="B37" s="8">
        <v>85</v>
      </c>
      <c r="C37" s="8">
        <v>4</v>
      </c>
      <c r="D37" s="8">
        <v>12967.22</v>
      </c>
      <c r="E37" s="8">
        <v>2982.502</v>
      </c>
      <c r="F37" s="8">
        <v>2.9806309999999998</v>
      </c>
      <c r="G37" s="8">
        <v>7.0009059999999996</v>
      </c>
      <c r="H37" s="8">
        <v>10.019410000000001</v>
      </c>
      <c r="I37" s="8">
        <v>0.87612559999999995</v>
      </c>
      <c r="J37" s="8" t="s">
        <v>26</v>
      </c>
      <c r="K37" s="8" t="s">
        <v>25</v>
      </c>
      <c r="L37" s="8" t="s">
        <v>25</v>
      </c>
      <c r="M37" s="8" t="s">
        <v>28</v>
      </c>
    </row>
    <row r="38" spans="1:13" x14ac:dyDescent="0.25">
      <c r="A38" s="8">
        <v>367</v>
      </c>
      <c r="B38" s="8">
        <v>86</v>
      </c>
      <c r="C38" s="8">
        <v>4</v>
      </c>
      <c r="D38" s="8">
        <v>12946.59</v>
      </c>
      <c r="E38" s="8">
        <v>2982.8449999999998</v>
      </c>
      <c r="F38" s="8">
        <v>4.3398440000000003</v>
      </c>
      <c r="G38" s="8">
        <v>14.729839999999999</v>
      </c>
      <c r="H38" s="8">
        <v>14.6007</v>
      </c>
      <c r="I38" s="8">
        <v>0.8680542</v>
      </c>
      <c r="J38" s="8" t="s">
        <v>25</v>
      </c>
      <c r="K38" s="8" t="s">
        <v>25</v>
      </c>
      <c r="L38" s="8" t="s">
        <v>25</v>
      </c>
      <c r="M38" s="8" t="s">
        <v>28</v>
      </c>
    </row>
    <row r="39" spans="1:13" x14ac:dyDescent="0.25">
      <c r="A39" s="8">
        <v>369</v>
      </c>
      <c r="B39" s="8">
        <v>88</v>
      </c>
      <c r="C39" s="8">
        <v>4</v>
      </c>
      <c r="D39" s="8">
        <v>13014.91</v>
      </c>
      <c r="E39" s="8">
        <v>2982.4569999999999</v>
      </c>
      <c r="F39" s="8">
        <v>4.8884059999999998</v>
      </c>
      <c r="G39" s="8">
        <v>18.88636</v>
      </c>
      <c r="H39" s="8">
        <v>21.24513</v>
      </c>
      <c r="I39" s="8">
        <v>0.52568539999999997</v>
      </c>
      <c r="J39" s="8" t="s">
        <v>15</v>
      </c>
      <c r="K39" s="8" t="s">
        <v>25</v>
      </c>
      <c r="L39" s="8" t="s">
        <v>25</v>
      </c>
      <c r="M39" s="8" t="s">
        <v>28</v>
      </c>
    </row>
    <row r="40" spans="1:13" x14ac:dyDescent="0.25">
      <c r="A40" s="8">
        <v>372</v>
      </c>
      <c r="B40" s="8">
        <v>91</v>
      </c>
      <c r="C40" s="8">
        <v>4</v>
      </c>
      <c r="D40" s="8">
        <v>12928.63</v>
      </c>
      <c r="E40" s="8">
        <v>2985.0320000000002</v>
      </c>
      <c r="F40" s="8">
        <v>5.0938169999999996</v>
      </c>
      <c r="G40" s="8">
        <v>20.410139999999998</v>
      </c>
      <c r="H40" s="8">
        <v>21.1112</v>
      </c>
      <c r="I40" s="8">
        <v>0.57532939999999999</v>
      </c>
      <c r="J40" s="8" t="s">
        <v>25</v>
      </c>
      <c r="K40" s="8" t="s">
        <v>25</v>
      </c>
      <c r="L40" s="8" t="s">
        <v>25</v>
      </c>
      <c r="M40" s="8" t="s">
        <v>28</v>
      </c>
    </row>
    <row r="41" spans="1:13" x14ac:dyDescent="0.25">
      <c r="A41" s="8">
        <v>375</v>
      </c>
      <c r="B41" s="8">
        <v>94</v>
      </c>
      <c r="C41" s="8">
        <v>4</v>
      </c>
      <c r="D41" s="8">
        <v>12904.89</v>
      </c>
      <c r="E41" s="8">
        <v>2987.8029999999999</v>
      </c>
      <c r="F41" s="8">
        <v>3.3537140000000001</v>
      </c>
      <c r="G41" s="8">
        <v>8.6770600000000009</v>
      </c>
      <c r="H41" s="8">
        <v>11.84083</v>
      </c>
      <c r="I41" s="8">
        <v>0.77750750000000002</v>
      </c>
      <c r="J41" s="8" t="s">
        <v>25</v>
      </c>
      <c r="K41" s="8" t="s">
        <v>25</v>
      </c>
      <c r="L41" s="8" t="s">
        <v>25</v>
      </c>
      <c r="M41" s="8" t="s">
        <v>46</v>
      </c>
    </row>
    <row r="42" spans="1:13" x14ac:dyDescent="0.25">
      <c r="A42" s="8">
        <v>382</v>
      </c>
      <c r="B42" s="8">
        <v>101</v>
      </c>
      <c r="C42" s="8">
        <v>4</v>
      </c>
      <c r="D42" s="8">
        <v>12929.53</v>
      </c>
      <c r="E42" s="8">
        <v>2990.7020000000002</v>
      </c>
      <c r="F42" s="8">
        <v>1.9356979999999999</v>
      </c>
      <c r="G42" s="8">
        <v>2.9544329999999999</v>
      </c>
      <c r="H42" s="8">
        <v>7.1386820000000002</v>
      </c>
      <c r="I42" s="8">
        <v>0.72834049999999995</v>
      </c>
      <c r="J42" s="8" t="s">
        <v>25</v>
      </c>
      <c r="K42" s="8" t="s">
        <v>25</v>
      </c>
      <c r="L42" s="8" t="s">
        <v>25</v>
      </c>
      <c r="M42" s="8" t="s">
        <v>53</v>
      </c>
    </row>
    <row r="43" spans="1:13" x14ac:dyDescent="0.25">
      <c r="A43" s="8">
        <v>387</v>
      </c>
      <c r="B43" s="8">
        <v>106</v>
      </c>
      <c r="C43" s="8">
        <v>4</v>
      </c>
      <c r="D43" s="8">
        <v>12937.38</v>
      </c>
      <c r="E43" s="8">
        <v>2991.5369999999998</v>
      </c>
      <c r="F43" s="8">
        <v>3.1279569999999999</v>
      </c>
      <c r="G43" s="8">
        <v>7.7035369999999999</v>
      </c>
      <c r="H43" s="8">
        <v>10.61603</v>
      </c>
      <c r="I43" s="8">
        <v>0.85874150000000005</v>
      </c>
      <c r="J43" s="8" t="s">
        <v>13</v>
      </c>
      <c r="K43" s="8" t="s">
        <v>25</v>
      </c>
      <c r="L43" s="8" t="s">
        <v>25</v>
      </c>
      <c r="M43" s="8" t="s">
        <v>33</v>
      </c>
    </row>
    <row r="44" spans="1:13" x14ac:dyDescent="0.25">
      <c r="A44" s="8">
        <v>397</v>
      </c>
      <c r="B44" s="8">
        <v>116</v>
      </c>
      <c r="C44" s="8">
        <v>4</v>
      </c>
      <c r="D44" s="8">
        <v>12978.26</v>
      </c>
      <c r="E44" s="8">
        <v>2996.1149999999998</v>
      </c>
      <c r="F44" s="8">
        <v>4.7937430000000001</v>
      </c>
      <c r="G44" s="8">
        <v>18.06522</v>
      </c>
      <c r="H44" s="8">
        <v>17.786280000000001</v>
      </c>
      <c r="I44" s="8">
        <v>0.71741330000000003</v>
      </c>
      <c r="J44" s="8" t="s">
        <v>25</v>
      </c>
      <c r="K44" s="8" t="s">
        <v>25</v>
      </c>
      <c r="L44" s="8" t="s">
        <v>25</v>
      </c>
      <c r="M44" s="8" t="s">
        <v>47</v>
      </c>
    </row>
    <row r="45" spans="1:13" x14ac:dyDescent="0.25">
      <c r="A45" s="8">
        <v>398</v>
      </c>
      <c r="B45" s="8">
        <v>117</v>
      </c>
      <c r="C45" s="8">
        <v>4</v>
      </c>
      <c r="D45" s="8">
        <v>12963.64</v>
      </c>
      <c r="E45" s="8">
        <v>2998.848</v>
      </c>
      <c r="F45" s="8">
        <v>1.267123</v>
      </c>
      <c r="G45" s="8">
        <v>1.2444170000000001</v>
      </c>
      <c r="H45" s="8">
        <v>4.213311</v>
      </c>
      <c r="I45" s="8">
        <v>0.88067450000000003</v>
      </c>
      <c r="J45" s="8" t="s">
        <v>25</v>
      </c>
      <c r="K45" s="8" t="s">
        <v>25</v>
      </c>
      <c r="L45" s="8" t="s">
        <v>25</v>
      </c>
      <c r="M45" s="8" t="s">
        <v>47</v>
      </c>
    </row>
    <row r="46" spans="1:13" x14ac:dyDescent="0.25">
      <c r="A46" s="8">
        <v>399</v>
      </c>
      <c r="B46" s="8">
        <v>118</v>
      </c>
      <c r="C46" s="8">
        <v>4</v>
      </c>
      <c r="D46" s="8">
        <v>12981.54</v>
      </c>
      <c r="E46" s="8">
        <v>3000.2840000000001</v>
      </c>
      <c r="F46" s="8">
        <v>0.80235400000000001</v>
      </c>
      <c r="G46" s="8">
        <v>0.4909946</v>
      </c>
      <c r="H46" s="8">
        <v>2.665168</v>
      </c>
      <c r="I46" s="8">
        <v>0.86840839999999997</v>
      </c>
      <c r="J46" s="8" t="s">
        <v>25</v>
      </c>
      <c r="K46" s="8" t="s">
        <v>25</v>
      </c>
      <c r="L46" s="8" t="s">
        <v>25</v>
      </c>
      <c r="M46" s="8" t="s">
        <v>52</v>
      </c>
    </row>
    <row r="47" spans="1:13" x14ac:dyDescent="0.25">
      <c r="A47" s="8">
        <v>403</v>
      </c>
      <c r="B47" s="8">
        <v>122</v>
      </c>
      <c r="C47" s="8">
        <v>4</v>
      </c>
      <c r="D47" s="8">
        <v>12977.78</v>
      </c>
      <c r="E47" s="8">
        <v>3001.6709999999998</v>
      </c>
      <c r="F47" s="8">
        <v>0.89386540000000003</v>
      </c>
      <c r="G47" s="8">
        <v>0.61797599999999997</v>
      </c>
      <c r="H47" s="8">
        <v>3.2171419999999999</v>
      </c>
      <c r="I47" s="8">
        <v>0.75011439999999996</v>
      </c>
      <c r="J47" s="8" t="s">
        <v>15</v>
      </c>
      <c r="K47" s="8" t="s">
        <v>25</v>
      </c>
      <c r="L47" s="8" t="s">
        <v>25</v>
      </c>
      <c r="M47" s="8" t="s">
        <v>36</v>
      </c>
    </row>
    <row r="48" spans="1:13" x14ac:dyDescent="0.25">
      <c r="A48" s="8">
        <v>404</v>
      </c>
      <c r="B48" s="8">
        <v>123</v>
      </c>
      <c r="C48" s="8">
        <v>4</v>
      </c>
      <c r="D48" s="8">
        <v>12983.79</v>
      </c>
      <c r="E48" s="8">
        <v>3002.232</v>
      </c>
      <c r="F48" s="8">
        <v>1.0131270000000001</v>
      </c>
      <c r="G48" s="8">
        <v>0.77881909999999999</v>
      </c>
      <c r="H48" s="8">
        <v>3.4011339999999999</v>
      </c>
      <c r="I48" s="8">
        <v>0.84583489999999995</v>
      </c>
      <c r="J48" s="8" t="s">
        <v>13</v>
      </c>
      <c r="K48" s="8" t="s">
        <v>25</v>
      </c>
      <c r="L48" s="8" t="s">
        <v>25</v>
      </c>
      <c r="M48" s="8" t="s">
        <v>33</v>
      </c>
    </row>
    <row r="49" spans="1:13" x14ac:dyDescent="0.25">
      <c r="A49" s="8">
        <v>421</v>
      </c>
      <c r="B49" s="8">
        <v>140</v>
      </c>
      <c r="C49" s="8">
        <v>4</v>
      </c>
      <c r="D49" s="8">
        <v>12926.48</v>
      </c>
      <c r="E49" s="8">
        <v>3012.386</v>
      </c>
      <c r="F49" s="8">
        <v>1.3428070000000001</v>
      </c>
      <c r="G49" s="8">
        <v>1.371399</v>
      </c>
      <c r="H49" s="8">
        <v>4.8099290000000003</v>
      </c>
      <c r="I49" s="8">
        <v>0.74470239999999999</v>
      </c>
      <c r="J49" s="8" t="s">
        <v>25</v>
      </c>
      <c r="K49" s="8" t="s">
        <v>25</v>
      </c>
      <c r="L49" s="8" t="s">
        <v>25</v>
      </c>
      <c r="M49" s="8" t="s">
        <v>28</v>
      </c>
    </row>
    <row r="50" spans="1:13" x14ac:dyDescent="0.25">
      <c r="A50" s="8">
        <v>422</v>
      </c>
      <c r="B50" s="8">
        <v>141</v>
      </c>
      <c r="C50" s="8">
        <v>4</v>
      </c>
      <c r="D50" s="8">
        <v>13014.48</v>
      </c>
      <c r="E50" s="8">
        <v>3012.1489999999999</v>
      </c>
      <c r="F50" s="8">
        <v>2.6681029999999999</v>
      </c>
      <c r="G50" s="8">
        <v>5.5448529999999998</v>
      </c>
      <c r="H50" s="8">
        <v>9.1310210000000005</v>
      </c>
      <c r="I50" s="8">
        <v>0.83550270000000004</v>
      </c>
      <c r="J50" s="8" t="s">
        <v>13</v>
      </c>
      <c r="K50" s="8" t="s">
        <v>25</v>
      </c>
      <c r="L50" s="8" t="s">
        <v>25</v>
      </c>
      <c r="M50" s="8" t="s">
        <v>38</v>
      </c>
    </row>
    <row r="51" spans="1:13" x14ac:dyDescent="0.25">
      <c r="A51" s="8">
        <v>423</v>
      </c>
      <c r="B51" s="8">
        <v>142</v>
      </c>
      <c r="C51" s="8">
        <v>4</v>
      </c>
      <c r="D51" s="8">
        <v>12879.29</v>
      </c>
      <c r="E51" s="8">
        <v>3012.759</v>
      </c>
      <c r="F51" s="8">
        <v>1.280386</v>
      </c>
      <c r="G51" s="8">
        <v>1.252883</v>
      </c>
      <c r="H51" s="8">
        <v>4.4419469999999999</v>
      </c>
      <c r="I51" s="8">
        <v>0.7977379</v>
      </c>
      <c r="J51" s="8" t="s">
        <v>25</v>
      </c>
      <c r="K51" s="8" t="s">
        <v>25</v>
      </c>
      <c r="L51" s="8" t="s">
        <v>25</v>
      </c>
      <c r="M51" s="8" t="s">
        <v>47</v>
      </c>
    </row>
    <row r="52" spans="1:13" x14ac:dyDescent="0.25">
      <c r="A52" s="8">
        <v>429</v>
      </c>
      <c r="B52" s="8">
        <v>148</v>
      </c>
      <c r="C52" s="8">
        <v>4</v>
      </c>
      <c r="D52" s="8">
        <v>12950.63</v>
      </c>
      <c r="E52" s="8">
        <v>3016.317</v>
      </c>
      <c r="F52" s="8">
        <v>3.3630409999999999</v>
      </c>
      <c r="G52" s="8">
        <v>8.8125079999999993</v>
      </c>
      <c r="H52" s="8">
        <v>11.167999999999999</v>
      </c>
      <c r="I52" s="8">
        <v>0.88765649999999996</v>
      </c>
      <c r="J52" s="8" t="s">
        <v>15</v>
      </c>
      <c r="K52" s="8" t="s">
        <v>25</v>
      </c>
      <c r="L52" s="8" t="s">
        <v>25</v>
      </c>
      <c r="M52" s="8" t="s">
        <v>28</v>
      </c>
    </row>
    <row r="53" spans="1:13" x14ac:dyDescent="0.25">
      <c r="A53" s="8">
        <v>437</v>
      </c>
      <c r="B53" s="8">
        <v>156</v>
      </c>
      <c r="C53" s="8">
        <v>4</v>
      </c>
      <c r="D53" s="8">
        <v>12961.64</v>
      </c>
      <c r="E53" s="8">
        <v>3018.8629999999998</v>
      </c>
      <c r="F53" s="8">
        <v>5.5633150000000002</v>
      </c>
      <c r="G53" s="8">
        <v>21.155100000000001</v>
      </c>
      <c r="H53" s="8">
        <v>22.259789999999999</v>
      </c>
      <c r="I53" s="8">
        <v>0.53637579999999996</v>
      </c>
      <c r="J53" s="8" t="s">
        <v>26</v>
      </c>
      <c r="K53" s="8" t="s">
        <v>25</v>
      </c>
      <c r="L53" s="8" t="s">
        <v>25</v>
      </c>
      <c r="M53" s="8" t="s">
        <v>54</v>
      </c>
    </row>
    <row r="54" spans="1:13" x14ac:dyDescent="0.25">
      <c r="A54" s="8">
        <v>443</v>
      </c>
      <c r="B54" s="8">
        <v>162</v>
      </c>
      <c r="C54" s="8">
        <v>4</v>
      </c>
      <c r="D54" s="8">
        <v>12912.41</v>
      </c>
      <c r="E54" s="8">
        <v>3024.54</v>
      </c>
      <c r="F54" s="8">
        <v>2.8861680000000001</v>
      </c>
      <c r="G54" s="8">
        <v>6.2390179999999997</v>
      </c>
      <c r="H54" s="8">
        <v>9.651427</v>
      </c>
      <c r="I54" s="8">
        <v>0.84145250000000005</v>
      </c>
      <c r="J54" s="8" t="s">
        <v>25</v>
      </c>
      <c r="K54" s="8" t="s">
        <v>25</v>
      </c>
      <c r="L54" s="8" t="s">
        <v>25</v>
      </c>
      <c r="M54" s="8" t="s">
        <v>46</v>
      </c>
    </row>
    <row r="55" spans="1:13" x14ac:dyDescent="0.25">
      <c r="A55" s="8">
        <v>447</v>
      </c>
      <c r="B55" s="8">
        <v>166</v>
      </c>
      <c r="C55" s="8">
        <v>4</v>
      </c>
      <c r="D55" s="8">
        <v>12980.87</v>
      </c>
      <c r="E55" s="8">
        <v>3026.91</v>
      </c>
      <c r="F55" s="8">
        <v>4.3361239999999999</v>
      </c>
      <c r="G55" s="8">
        <v>13.84097</v>
      </c>
      <c r="H55" s="8">
        <v>14.72156</v>
      </c>
      <c r="I55" s="8">
        <v>0.8023342</v>
      </c>
      <c r="J55" s="8" t="s">
        <v>25</v>
      </c>
      <c r="K55" s="8" t="s">
        <v>25</v>
      </c>
      <c r="L55" s="8" t="s">
        <v>25</v>
      </c>
      <c r="M55" s="8" t="s">
        <v>47</v>
      </c>
    </row>
    <row r="56" spans="1:13" x14ac:dyDescent="0.25">
      <c r="A56" s="8">
        <v>452</v>
      </c>
      <c r="B56" s="8">
        <v>171</v>
      </c>
      <c r="C56" s="8">
        <v>4</v>
      </c>
      <c r="D56" s="8">
        <v>12925.77</v>
      </c>
      <c r="E56" s="8">
        <v>3029.1889999999999</v>
      </c>
      <c r="F56" s="8">
        <v>2.3210489999999999</v>
      </c>
      <c r="G56" s="8">
        <v>4.4104859999999997</v>
      </c>
      <c r="H56" s="8">
        <v>8.287274</v>
      </c>
      <c r="I56" s="8">
        <v>0.8067879</v>
      </c>
      <c r="J56" s="8" t="s">
        <v>13</v>
      </c>
      <c r="K56" s="8" t="s">
        <v>25</v>
      </c>
      <c r="L56" s="8" t="s">
        <v>25</v>
      </c>
      <c r="M56" s="8" t="s">
        <v>38</v>
      </c>
    </row>
    <row r="57" spans="1:13" x14ac:dyDescent="0.25">
      <c r="A57" s="8">
        <v>453</v>
      </c>
      <c r="B57" s="8">
        <v>172</v>
      </c>
      <c r="C57" s="8">
        <v>4</v>
      </c>
      <c r="D57" s="8">
        <v>12907.24</v>
      </c>
      <c r="E57" s="8">
        <v>3028.6239999999998</v>
      </c>
      <c r="F57" s="8">
        <v>4.6148020000000001</v>
      </c>
      <c r="G57" s="8">
        <v>14.941470000000001</v>
      </c>
      <c r="H57" s="8">
        <v>16.409050000000001</v>
      </c>
      <c r="I57" s="8">
        <v>0.69714469999999995</v>
      </c>
      <c r="J57" s="8" t="s">
        <v>25</v>
      </c>
      <c r="K57" s="8" t="s">
        <v>25</v>
      </c>
      <c r="L57" s="8" t="s">
        <v>25</v>
      </c>
      <c r="M57" s="8" t="s">
        <v>28</v>
      </c>
    </row>
    <row r="58" spans="1:13" x14ac:dyDescent="0.25">
      <c r="A58" s="8">
        <v>455</v>
      </c>
      <c r="B58" s="8">
        <v>174</v>
      </c>
      <c r="C58" s="8">
        <v>4</v>
      </c>
      <c r="D58" s="8">
        <v>12903.17</v>
      </c>
      <c r="E58" s="8">
        <v>3030.8240000000001</v>
      </c>
      <c r="F58" s="8">
        <v>1.9156759999999999</v>
      </c>
      <c r="G58" s="8">
        <v>2.810521</v>
      </c>
      <c r="H58" s="8">
        <v>6.5420639999999999</v>
      </c>
      <c r="I58" s="8">
        <v>0.82499940000000005</v>
      </c>
      <c r="J58" s="8" t="s">
        <v>13</v>
      </c>
      <c r="K58" s="8" t="s">
        <v>25</v>
      </c>
      <c r="L58" s="8" t="s">
        <v>25</v>
      </c>
      <c r="M58" s="8" t="s">
        <v>52</v>
      </c>
    </row>
    <row r="59" spans="1:13" x14ac:dyDescent="0.25">
      <c r="A59" s="8">
        <v>459</v>
      </c>
      <c r="B59" s="8">
        <v>178</v>
      </c>
      <c r="C59" s="8">
        <v>4</v>
      </c>
      <c r="D59" s="8">
        <v>12946.57</v>
      </c>
      <c r="E59" s="8">
        <v>3032.625</v>
      </c>
      <c r="F59" s="8">
        <v>3.4559760000000002</v>
      </c>
      <c r="G59" s="8">
        <v>9.2696400000000008</v>
      </c>
      <c r="H59" s="8">
        <v>11.580629999999999</v>
      </c>
      <c r="I59" s="8">
        <v>0.86835039999999997</v>
      </c>
      <c r="J59" s="8" t="s">
        <v>25</v>
      </c>
      <c r="K59" s="8" t="s">
        <v>25</v>
      </c>
      <c r="L59" s="8" t="s">
        <v>25</v>
      </c>
      <c r="M59" s="8" t="s">
        <v>46</v>
      </c>
    </row>
    <row r="60" spans="1:13" x14ac:dyDescent="0.25">
      <c r="A60" s="8">
        <v>462</v>
      </c>
      <c r="B60" s="8">
        <v>181</v>
      </c>
      <c r="C60" s="8">
        <v>4</v>
      </c>
      <c r="D60" s="8">
        <v>12947.94</v>
      </c>
      <c r="E60" s="8">
        <v>3035.2849999999999</v>
      </c>
      <c r="F60" s="8">
        <v>1.00143</v>
      </c>
      <c r="G60" s="8">
        <v>0.73649200000000004</v>
      </c>
      <c r="H60" s="8">
        <v>3.2171419999999999</v>
      </c>
      <c r="I60" s="8">
        <v>0.89397190000000004</v>
      </c>
      <c r="J60" s="8" t="s">
        <v>25</v>
      </c>
      <c r="K60" s="8" t="s">
        <v>25</v>
      </c>
      <c r="L60" s="8" t="s">
        <v>25</v>
      </c>
      <c r="M60" s="8" t="s">
        <v>46</v>
      </c>
    </row>
    <row r="61" spans="1:13" x14ac:dyDescent="0.25">
      <c r="A61" s="8">
        <v>473</v>
      </c>
      <c r="B61" s="8">
        <v>192</v>
      </c>
      <c r="C61" s="8">
        <v>4</v>
      </c>
      <c r="D61" s="8">
        <v>12921.94</v>
      </c>
      <c r="E61" s="8">
        <v>3041.2829999999999</v>
      </c>
      <c r="F61" s="8">
        <v>1.0285089999999999</v>
      </c>
      <c r="G61" s="8">
        <v>0.77035370000000003</v>
      </c>
      <c r="H61" s="8">
        <v>3.3249219999999999</v>
      </c>
      <c r="I61" s="8">
        <v>0.8754345</v>
      </c>
      <c r="J61" s="8" t="s">
        <v>25</v>
      </c>
      <c r="K61" s="8" t="s">
        <v>15</v>
      </c>
      <c r="L61" s="8" t="s">
        <v>15</v>
      </c>
      <c r="M61" s="8" t="s">
        <v>46</v>
      </c>
    </row>
    <row r="62" spans="1:13" x14ac:dyDescent="0.25">
      <c r="A62" s="8">
        <v>488</v>
      </c>
      <c r="B62" s="8">
        <v>2</v>
      </c>
      <c r="C62" s="8">
        <v>5</v>
      </c>
      <c r="D62" s="8">
        <v>23988.81</v>
      </c>
      <c r="E62" s="8">
        <v>5807.4530000000004</v>
      </c>
      <c r="F62" s="8">
        <v>2.3422670000000001</v>
      </c>
      <c r="G62" s="8">
        <v>4.1819199999999999</v>
      </c>
      <c r="H62" s="8">
        <v>7.8877240000000004</v>
      </c>
      <c r="I62" s="8">
        <v>0.84443979999999996</v>
      </c>
      <c r="J62" s="8" t="s">
        <v>13</v>
      </c>
      <c r="K62" s="8" t="s">
        <v>25</v>
      </c>
      <c r="L62" s="8" t="s">
        <v>25</v>
      </c>
      <c r="M62" s="8" t="s">
        <v>38</v>
      </c>
    </row>
    <row r="63" spans="1:13" x14ac:dyDescent="0.25">
      <c r="A63" s="8">
        <v>489</v>
      </c>
      <c r="B63" s="8">
        <v>3</v>
      </c>
      <c r="C63" s="8">
        <v>5</v>
      </c>
      <c r="D63" s="8">
        <v>24034.83</v>
      </c>
      <c r="E63" s="8">
        <v>5807.81</v>
      </c>
      <c r="F63" s="8">
        <v>2.4309379999999998</v>
      </c>
      <c r="G63" s="8">
        <v>4.5797949999999998</v>
      </c>
      <c r="H63" s="8">
        <v>8.395054</v>
      </c>
      <c r="I63" s="8">
        <v>0.81638569999999999</v>
      </c>
      <c r="J63" s="8" t="s">
        <v>25</v>
      </c>
      <c r="K63" s="8" t="s">
        <v>26</v>
      </c>
      <c r="L63" s="8" t="s">
        <v>26</v>
      </c>
      <c r="M63" s="8" t="s">
        <v>55</v>
      </c>
    </row>
    <row r="64" spans="1:13" x14ac:dyDescent="0.25">
      <c r="A64" s="8">
        <v>491</v>
      </c>
      <c r="B64" s="8">
        <v>5</v>
      </c>
      <c r="C64" s="8">
        <v>5</v>
      </c>
      <c r="D64" s="8">
        <v>23975.08</v>
      </c>
      <c r="E64" s="8">
        <v>5807.9070000000002</v>
      </c>
      <c r="F64" s="8">
        <v>3.393818</v>
      </c>
      <c r="G64" s="8">
        <v>9.1172629999999995</v>
      </c>
      <c r="H64" s="8">
        <v>11.62527</v>
      </c>
      <c r="I64" s="8">
        <v>0.84752899999999998</v>
      </c>
      <c r="J64" s="8" t="s">
        <v>25</v>
      </c>
      <c r="K64" s="8" t="s">
        <v>25</v>
      </c>
      <c r="L64" s="8" t="s">
        <v>25</v>
      </c>
      <c r="M64" s="8" t="s">
        <v>36</v>
      </c>
    </row>
    <row r="65" spans="1:13" x14ac:dyDescent="0.25">
      <c r="A65" s="8">
        <v>492</v>
      </c>
      <c r="B65" s="8">
        <v>6</v>
      </c>
      <c r="C65" s="8">
        <v>5</v>
      </c>
      <c r="D65" s="8">
        <v>23897.05</v>
      </c>
      <c r="E65" s="8">
        <v>5807.72</v>
      </c>
      <c r="F65" s="8">
        <v>4.1997559999999998</v>
      </c>
      <c r="G65" s="8">
        <v>11.50451</v>
      </c>
      <c r="H65" s="8">
        <v>15.59146</v>
      </c>
      <c r="I65" s="8">
        <v>0.59455389999999997</v>
      </c>
      <c r="J65" s="8" t="s">
        <v>25</v>
      </c>
      <c r="K65" s="8" t="s">
        <v>25</v>
      </c>
      <c r="L65" s="8" t="s">
        <v>25</v>
      </c>
      <c r="M65" s="8" t="s">
        <v>33</v>
      </c>
    </row>
    <row r="66" spans="1:13" x14ac:dyDescent="0.25">
      <c r="A66" s="8">
        <v>494</v>
      </c>
      <c r="B66" s="8">
        <v>8</v>
      </c>
      <c r="C66" s="8">
        <v>5</v>
      </c>
      <c r="D66" s="8">
        <v>23926.23</v>
      </c>
      <c r="E66" s="8">
        <v>5809.8879999999999</v>
      </c>
      <c r="F66" s="8">
        <v>3.4270999999999998</v>
      </c>
      <c r="G66" s="8">
        <v>9.1172629999999995</v>
      </c>
      <c r="H66" s="8">
        <v>11.688409999999999</v>
      </c>
      <c r="I66" s="8">
        <v>0.83839770000000002</v>
      </c>
      <c r="J66" s="8" t="s">
        <v>25</v>
      </c>
      <c r="K66" s="8" t="s">
        <v>25</v>
      </c>
      <c r="L66" s="8" t="s">
        <v>25</v>
      </c>
      <c r="M66" s="8" t="s">
        <v>47</v>
      </c>
    </row>
    <row r="67" spans="1:13" x14ac:dyDescent="0.25">
      <c r="A67" s="8">
        <v>496</v>
      </c>
      <c r="B67" s="8">
        <v>10</v>
      </c>
      <c r="C67" s="8">
        <v>5</v>
      </c>
      <c r="D67" s="8">
        <v>24037.16</v>
      </c>
      <c r="E67" s="8">
        <v>5811.7870000000003</v>
      </c>
      <c r="F67" s="8">
        <v>3.1418180000000002</v>
      </c>
      <c r="G67" s="8">
        <v>7.4834360000000002</v>
      </c>
      <c r="H67" s="8">
        <v>10.35582</v>
      </c>
      <c r="I67" s="8">
        <v>0.87665369999999998</v>
      </c>
      <c r="J67" s="8" t="s">
        <v>25</v>
      </c>
      <c r="K67" s="8" t="s">
        <v>25</v>
      </c>
      <c r="L67" s="8" t="s">
        <v>25</v>
      </c>
      <c r="M67" s="8" t="s">
        <v>33</v>
      </c>
    </row>
    <row r="68" spans="1:13" x14ac:dyDescent="0.25">
      <c r="A68" s="8">
        <v>510</v>
      </c>
      <c r="B68" s="8">
        <v>24</v>
      </c>
      <c r="C68" s="8">
        <v>5</v>
      </c>
      <c r="D68" s="8">
        <v>23964.75</v>
      </c>
      <c r="E68" s="8">
        <v>5826.991</v>
      </c>
      <c r="F68" s="8">
        <v>2.2085699999999999</v>
      </c>
      <c r="G68" s="8">
        <v>3.8094410000000001</v>
      </c>
      <c r="H68" s="8">
        <v>7.430453</v>
      </c>
      <c r="I68" s="8">
        <v>0.86681620000000004</v>
      </c>
      <c r="J68" s="8" t="s">
        <v>13</v>
      </c>
      <c r="K68" s="8" t="s">
        <v>25</v>
      </c>
      <c r="L68" s="8" t="s">
        <v>25</v>
      </c>
      <c r="M68" s="8" t="s">
        <v>38</v>
      </c>
    </row>
    <row r="69" spans="1:13" x14ac:dyDescent="0.25">
      <c r="A69" s="8">
        <v>511</v>
      </c>
      <c r="B69" s="8">
        <v>25</v>
      </c>
      <c r="C69" s="8">
        <v>5</v>
      </c>
      <c r="D69" s="8">
        <v>24015.77</v>
      </c>
      <c r="E69" s="8">
        <v>5827.2340000000004</v>
      </c>
      <c r="F69" s="8">
        <v>3.5733410000000001</v>
      </c>
      <c r="G69" s="8">
        <v>9.8622200000000007</v>
      </c>
      <c r="H69" s="8">
        <v>11.94861</v>
      </c>
      <c r="I69" s="8">
        <v>0.86783299999999997</v>
      </c>
      <c r="J69" s="8" t="s">
        <v>25</v>
      </c>
      <c r="K69" s="8" t="s">
        <v>25</v>
      </c>
      <c r="L69" s="8" t="s">
        <v>25</v>
      </c>
      <c r="M69" s="8" t="s">
        <v>46</v>
      </c>
    </row>
    <row r="70" spans="1:13" x14ac:dyDescent="0.25">
      <c r="A70" s="8">
        <v>517</v>
      </c>
      <c r="B70" s="8">
        <v>31</v>
      </c>
      <c r="C70" s="8">
        <v>5</v>
      </c>
      <c r="D70" s="8">
        <v>24033.4</v>
      </c>
      <c r="E70" s="8">
        <v>5834.1490000000003</v>
      </c>
      <c r="F70" s="8">
        <v>2.2753130000000001</v>
      </c>
      <c r="G70" s="8">
        <v>4.0718690000000004</v>
      </c>
      <c r="H70" s="8">
        <v>7.8746479999999996</v>
      </c>
      <c r="I70" s="8">
        <v>0.82495059999999998</v>
      </c>
      <c r="J70" s="8" t="s">
        <v>15</v>
      </c>
      <c r="K70" s="8" t="s">
        <v>25</v>
      </c>
      <c r="L70" s="8" t="s">
        <v>25</v>
      </c>
      <c r="M70" s="8" t="s">
        <v>28</v>
      </c>
    </row>
    <row r="71" spans="1:13" x14ac:dyDescent="0.25">
      <c r="A71" s="8">
        <v>523</v>
      </c>
      <c r="B71" s="8">
        <v>37</v>
      </c>
      <c r="C71" s="8">
        <v>5</v>
      </c>
      <c r="D71" s="8">
        <v>23889.19</v>
      </c>
      <c r="E71" s="8">
        <v>5837.8040000000001</v>
      </c>
      <c r="F71" s="8">
        <v>2.7118730000000002</v>
      </c>
      <c r="G71" s="8">
        <v>6.0527790000000001</v>
      </c>
      <c r="H71" s="8">
        <v>9.651427</v>
      </c>
      <c r="I71" s="8">
        <v>0.81633449999999996</v>
      </c>
      <c r="J71" s="8" t="s">
        <v>25</v>
      </c>
      <c r="K71" s="8" t="s">
        <v>25</v>
      </c>
      <c r="L71" s="8" t="s">
        <v>25</v>
      </c>
      <c r="M71" s="8" t="s">
        <v>38</v>
      </c>
    </row>
    <row r="72" spans="1:13" x14ac:dyDescent="0.25">
      <c r="A72" s="8">
        <v>534</v>
      </c>
      <c r="B72" s="8">
        <v>48</v>
      </c>
      <c r="C72" s="8">
        <v>5</v>
      </c>
      <c r="D72" s="8">
        <v>23908.959999999999</v>
      </c>
      <c r="E72" s="8">
        <v>5846.57</v>
      </c>
      <c r="F72" s="8">
        <v>3.245069</v>
      </c>
      <c r="G72" s="8">
        <v>7.2379379999999998</v>
      </c>
      <c r="H72" s="8">
        <v>11.688409999999999</v>
      </c>
      <c r="I72" s="8">
        <v>0.66558039999999996</v>
      </c>
      <c r="J72" s="8" t="s">
        <v>25</v>
      </c>
      <c r="K72" s="8" t="s">
        <v>25</v>
      </c>
      <c r="L72" s="8" t="s">
        <v>25</v>
      </c>
      <c r="M72" s="8" t="s">
        <v>47</v>
      </c>
    </row>
    <row r="73" spans="1:13" x14ac:dyDescent="0.25">
      <c r="A73" s="8">
        <v>548</v>
      </c>
      <c r="B73" s="8">
        <v>62</v>
      </c>
      <c r="C73" s="8">
        <v>5</v>
      </c>
      <c r="D73" s="8">
        <v>24026.95</v>
      </c>
      <c r="E73" s="8">
        <v>5853.7830000000004</v>
      </c>
      <c r="F73" s="8">
        <v>5.1825049999999999</v>
      </c>
      <c r="G73" s="8">
        <v>19.157260000000001</v>
      </c>
      <c r="H73" s="8">
        <v>18.122689999999999</v>
      </c>
      <c r="I73" s="8">
        <v>0.7327979</v>
      </c>
      <c r="J73" s="8" t="s">
        <v>25</v>
      </c>
      <c r="K73" s="8" t="s">
        <v>25</v>
      </c>
      <c r="L73" s="8" t="s">
        <v>25</v>
      </c>
      <c r="M73" s="8" t="s">
        <v>33</v>
      </c>
    </row>
    <row r="74" spans="1:13" x14ac:dyDescent="0.25">
      <c r="A74" s="8">
        <v>597</v>
      </c>
      <c r="B74" s="8">
        <v>111</v>
      </c>
      <c r="C74" s="8">
        <v>5</v>
      </c>
      <c r="D74" s="8">
        <v>23955.21</v>
      </c>
      <c r="E74" s="8">
        <v>5881.0860000000002</v>
      </c>
      <c r="F74" s="8">
        <v>1.908684</v>
      </c>
      <c r="G74" s="8">
        <v>2.8274520000000001</v>
      </c>
      <c r="H74" s="8">
        <v>6.371149</v>
      </c>
      <c r="I74" s="8">
        <v>0.87509689999999996</v>
      </c>
      <c r="J74" s="8" t="s">
        <v>27</v>
      </c>
      <c r="K74" s="8" t="s">
        <v>25</v>
      </c>
      <c r="L74" s="8" t="s">
        <v>25</v>
      </c>
      <c r="M74" s="8" t="s">
        <v>28</v>
      </c>
    </row>
    <row r="75" spans="1:13" x14ac:dyDescent="0.25">
      <c r="A75" s="8">
        <v>612</v>
      </c>
      <c r="B75" s="8">
        <v>126</v>
      </c>
      <c r="C75" s="8">
        <v>5</v>
      </c>
      <c r="D75" s="8">
        <v>23996.76</v>
      </c>
      <c r="E75" s="8">
        <v>5884.62</v>
      </c>
      <c r="F75" s="8">
        <v>4.8627120000000001</v>
      </c>
      <c r="G75" s="8">
        <v>14.78063</v>
      </c>
      <c r="H75" s="8">
        <v>19.302849999999999</v>
      </c>
      <c r="I75" s="8">
        <v>0.49836370000000002</v>
      </c>
      <c r="J75" s="8" t="s">
        <v>25</v>
      </c>
      <c r="K75" s="8" t="s">
        <v>25</v>
      </c>
      <c r="L75" s="8" t="s">
        <v>25</v>
      </c>
      <c r="M75" s="8" t="s">
        <v>46</v>
      </c>
    </row>
    <row r="76" spans="1:13" x14ac:dyDescent="0.25">
      <c r="A76" s="8">
        <v>659</v>
      </c>
      <c r="B76" s="8">
        <v>173</v>
      </c>
      <c r="C76" s="8">
        <v>5</v>
      </c>
      <c r="D76" s="8">
        <v>23958.49</v>
      </c>
      <c r="E76" s="8">
        <v>5914.1</v>
      </c>
      <c r="F76" s="8">
        <v>4.7758979999999998</v>
      </c>
      <c r="G76" s="8">
        <v>15.39861</v>
      </c>
      <c r="H76" s="8">
        <v>16.929459999999999</v>
      </c>
      <c r="I76" s="8">
        <v>0.67498139999999995</v>
      </c>
      <c r="J76" s="8" t="s">
        <v>13</v>
      </c>
      <c r="K76" s="8" t="s">
        <v>25</v>
      </c>
      <c r="L76" s="8" t="s">
        <v>25</v>
      </c>
      <c r="M76" s="8" t="s">
        <v>38</v>
      </c>
    </row>
    <row r="77" spans="1:13" x14ac:dyDescent="0.25">
      <c r="A77" s="4">
        <v>6</v>
      </c>
      <c r="B77" s="4">
        <v>6</v>
      </c>
      <c r="C77" s="4">
        <v>1</v>
      </c>
      <c r="D77" s="4">
        <v>-9933.6949999999997</v>
      </c>
      <c r="E77" s="4">
        <v>-2271.6480000000001</v>
      </c>
      <c r="F77" s="4">
        <v>5.298235</v>
      </c>
      <c r="G77" s="4">
        <v>21.908519999999999</v>
      </c>
      <c r="H77" s="4">
        <v>17.938700000000001</v>
      </c>
      <c r="I77" s="4">
        <v>0.85531760000000001</v>
      </c>
      <c r="J77" s="4" t="s">
        <v>25</v>
      </c>
      <c r="K77" s="4" t="s">
        <v>14</v>
      </c>
      <c r="L77" s="4" t="s">
        <v>25</v>
      </c>
      <c r="M77" s="4" t="s">
        <v>61</v>
      </c>
    </row>
    <row r="78" spans="1:13" x14ac:dyDescent="0.25">
      <c r="A78" s="4">
        <v>17</v>
      </c>
      <c r="B78" s="4">
        <v>17</v>
      </c>
      <c r="C78" s="4">
        <v>1</v>
      </c>
      <c r="D78" s="4">
        <v>-9952.0380000000005</v>
      </c>
      <c r="E78" s="4">
        <v>-2248.2170000000001</v>
      </c>
      <c r="F78" s="4">
        <v>1.214769</v>
      </c>
      <c r="G78" s="4">
        <v>1.125901</v>
      </c>
      <c r="H78" s="4">
        <v>4.1055320000000002</v>
      </c>
      <c r="I78" s="4">
        <v>0.83918559999999998</v>
      </c>
      <c r="J78" s="4" t="s">
        <v>56</v>
      </c>
      <c r="K78" s="4" t="s">
        <v>25</v>
      </c>
      <c r="L78" s="4" t="s">
        <v>25</v>
      </c>
      <c r="M78" s="4" t="s">
        <v>63</v>
      </c>
    </row>
    <row r="79" spans="1:13" x14ac:dyDescent="0.25">
      <c r="A79" s="4">
        <v>20</v>
      </c>
      <c r="B79" s="4">
        <v>20</v>
      </c>
      <c r="C79" s="4">
        <v>1</v>
      </c>
      <c r="D79" s="4">
        <v>-9958.9670000000006</v>
      </c>
      <c r="E79" s="4">
        <v>-2245.7739999999999</v>
      </c>
      <c r="F79" s="4">
        <v>6.2088190000000001</v>
      </c>
      <c r="G79" s="4">
        <v>28.884029999999999</v>
      </c>
      <c r="H79" s="4">
        <v>21.573889999999999</v>
      </c>
      <c r="I79" s="4">
        <v>0.7796459</v>
      </c>
      <c r="J79" s="4" t="s">
        <v>25</v>
      </c>
      <c r="K79" s="4" t="s">
        <v>25</v>
      </c>
      <c r="L79" s="4" t="s">
        <v>25</v>
      </c>
      <c r="M79" s="4" t="s">
        <v>47</v>
      </c>
    </row>
    <row r="80" spans="1:13" x14ac:dyDescent="0.25">
      <c r="A80" s="4">
        <v>28</v>
      </c>
      <c r="B80" s="4">
        <v>28</v>
      </c>
      <c r="C80" s="4">
        <v>1</v>
      </c>
      <c r="D80" s="4">
        <v>-9909.1129999999994</v>
      </c>
      <c r="E80" s="4">
        <v>-2230.165</v>
      </c>
      <c r="F80" s="4">
        <v>2.7689149999999998</v>
      </c>
      <c r="G80" s="4">
        <v>5.9765899999999998</v>
      </c>
      <c r="H80" s="4">
        <v>9.3596550000000001</v>
      </c>
      <c r="I80" s="4">
        <v>0.85709729999999995</v>
      </c>
      <c r="J80" s="4" t="s">
        <v>27</v>
      </c>
      <c r="K80" s="4" t="s">
        <v>25</v>
      </c>
      <c r="L80" s="4" t="s">
        <v>25</v>
      </c>
      <c r="M80" s="4" t="s">
        <v>64</v>
      </c>
    </row>
    <row r="81" spans="1:13" x14ac:dyDescent="0.25">
      <c r="A81" s="4">
        <v>56</v>
      </c>
      <c r="B81" s="4">
        <v>56</v>
      </c>
      <c r="C81" s="4">
        <v>1</v>
      </c>
      <c r="D81" s="4">
        <v>-9981.0139999999992</v>
      </c>
      <c r="E81" s="4">
        <v>-2196.8719999999998</v>
      </c>
      <c r="F81" s="4">
        <v>2.8939059999999999</v>
      </c>
      <c r="G81" s="4">
        <v>6.5861010000000002</v>
      </c>
      <c r="H81" s="4">
        <v>10.50825</v>
      </c>
      <c r="I81" s="4">
        <v>0.74931449999999999</v>
      </c>
      <c r="J81" s="4" t="s">
        <v>25</v>
      </c>
      <c r="K81" s="4" t="s">
        <v>25</v>
      </c>
      <c r="L81" s="4" t="s">
        <v>25</v>
      </c>
      <c r="M81" s="4" t="s">
        <v>46</v>
      </c>
    </row>
    <row r="82" spans="1:13" x14ac:dyDescent="0.25">
      <c r="A82" s="4">
        <v>64</v>
      </c>
      <c r="B82" s="4">
        <v>64</v>
      </c>
      <c r="C82" s="4">
        <v>1</v>
      </c>
      <c r="D82" s="4">
        <v>-9869.5239999999994</v>
      </c>
      <c r="E82" s="4">
        <v>-2177.8139999999999</v>
      </c>
      <c r="F82" s="4">
        <v>0.83193810000000001</v>
      </c>
      <c r="G82" s="4">
        <v>0.51639089999999999</v>
      </c>
      <c r="H82" s="4">
        <v>2.696736</v>
      </c>
      <c r="I82" s="4">
        <v>0.89206839999999998</v>
      </c>
      <c r="J82" s="4" t="s">
        <v>25</v>
      </c>
      <c r="K82" s="4" t="s">
        <v>25</v>
      </c>
      <c r="L82" s="4" t="s">
        <v>25</v>
      </c>
      <c r="M82" s="4" t="s">
        <v>65</v>
      </c>
    </row>
    <row r="83" spans="1:13" x14ac:dyDescent="0.25">
      <c r="A83" s="4">
        <v>66</v>
      </c>
      <c r="B83" s="4">
        <v>66</v>
      </c>
      <c r="C83" s="4">
        <v>1</v>
      </c>
      <c r="D83" s="4">
        <v>-9869.1489999999994</v>
      </c>
      <c r="E83" s="4">
        <v>-2176.6610000000001</v>
      </c>
      <c r="F83" s="4">
        <v>5.0963609999999999</v>
      </c>
      <c r="G83" s="4">
        <v>19.13186</v>
      </c>
      <c r="H83" s="4">
        <v>17.26587</v>
      </c>
      <c r="I83" s="4">
        <v>0.8062627</v>
      </c>
      <c r="J83" s="4" t="s">
        <v>25</v>
      </c>
      <c r="K83" s="4" t="s">
        <v>25</v>
      </c>
      <c r="L83" s="4" t="s">
        <v>25</v>
      </c>
      <c r="M83" s="4" t="s">
        <v>66</v>
      </c>
    </row>
    <row r="84" spans="1:13" x14ac:dyDescent="0.25">
      <c r="A84" s="4">
        <v>72</v>
      </c>
      <c r="B84" s="4">
        <v>72</v>
      </c>
      <c r="C84" s="4">
        <v>1</v>
      </c>
      <c r="D84" s="4">
        <v>-9866.1869999999999</v>
      </c>
      <c r="E84" s="4">
        <v>-2161.0230000000001</v>
      </c>
      <c r="F84" s="4">
        <v>3.2978100000000001</v>
      </c>
      <c r="G84" s="4">
        <v>8.0760149999999999</v>
      </c>
      <c r="H84" s="4">
        <v>12.303520000000001</v>
      </c>
      <c r="I84" s="4">
        <v>0.67024700000000004</v>
      </c>
      <c r="J84" s="4" t="s">
        <v>25</v>
      </c>
      <c r="K84" s="4" t="s">
        <v>25</v>
      </c>
      <c r="L84" s="4" t="s">
        <v>25</v>
      </c>
      <c r="M84" s="4" t="s">
        <v>67</v>
      </c>
    </row>
    <row r="85" spans="1:13" x14ac:dyDescent="0.25">
      <c r="A85" s="4">
        <v>83</v>
      </c>
      <c r="B85" s="4">
        <v>9</v>
      </c>
      <c r="C85" s="4">
        <v>2</v>
      </c>
      <c r="D85" s="4">
        <v>-12636.25</v>
      </c>
      <c r="E85" s="4">
        <v>1300.4369999999999</v>
      </c>
      <c r="F85" s="4">
        <v>2.745876</v>
      </c>
      <c r="G85" s="4">
        <v>5.9079170000000003</v>
      </c>
      <c r="H85" s="4">
        <v>10.27711</v>
      </c>
      <c r="I85" s="4">
        <v>0.70263980000000004</v>
      </c>
      <c r="J85" s="4" t="s">
        <v>25</v>
      </c>
      <c r="K85" s="4" t="s">
        <v>25</v>
      </c>
      <c r="L85" s="4" t="s">
        <v>25</v>
      </c>
      <c r="M85" s="4" t="s">
        <v>68</v>
      </c>
    </row>
    <row r="86" spans="1:13" x14ac:dyDescent="0.25">
      <c r="A86" s="4">
        <v>93</v>
      </c>
      <c r="B86" s="4">
        <v>19</v>
      </c>
      <c r="C86" s="4">
        <v>2</v>
      </c>
      <c r="D86" s="4">
        <v>-12682.2</v>
      </c>
      <c r="E86" s="4">
        <v>1318.1020000000001</v>
      </c>
      <c r="F86" s="4">
        <v>3.135535</v>
      </c>
      <c r="G86" s="4">
        <v>7.7423580000000003</v>
      </c>
      <c r="H86" s="4">
        <v>11.134270000000001</v>
      </c>
      <c r="I86" s="4">
        <v>0.78449519999999995</v>
      </c>
      <c r="J86" s="4" t="s">
        <v>25</v>
      </c>
      <c r="K86" s="4" t="s">
        <v>14</v>
      </c>
      <c r="L86" s="4" t="s">
        <v>25</v>
      </c>
      <c r="M86" s="4" t="s">
        <v>69</v>
      </c>
    </row>
    <row r="87" spans="1:13" x14ac:dyDescent="0.25">
      <c r="A87" s="4">
        <v>104</v>
      </c>
      <c r="B87" s="4">
        <v>30</v>
      </c>
      <c r="C87" s="4">
        <v>2</v>
      </c>
      <c r="D87" s="4">
        <v>-12664.82</v>
      </c>
      <c r="E87" s="4">
        <v>1335.1279999999999</v>
      </c>
      <c r="F87" s="4">
        <v>2.6745960000000002</v>
      </c>
      <c r="G87" s="4">
        <v>4.9673949999999998</v>
      </c>
      <c r="H87" s="4">
        <v>10.72532</v>
      </c>
      <c r="I87" s="4">
        <v>0.54243710000000001</v>
      </c>
      <c r="J87" s="4" t="s">
        <v>25</v>
      </c>
      <c r="K87" s="4" t="s">
        <v>25</v>
      </c>
      <c r="L87" s="4" t="s">
        <v>25</v>
      </c>
      <c r="M87" s="4" t="s">
        <v>68</v>
      </c>
    </row>
    <row r="88" spans="1:13" x14ac:dyDescent="0.25">
      <c r="A88" s="4">
        <v>108</v>
      </c>
      <c r="B88" s="4">
        <v>4</v>
      </c>
      <c r="C88" s="4">
        <v>3</v>
      </c>
      <c r="D88" s="4">
        <v>-8458.3109999999997</v>
      </c>
      <c r="E88" s="4">
        <v>-749.59360000000004</v>
      </c>
      <c r="F88" s="4">
        <v>3.482707</v>
      </c>
      <c r="G88" s="4">
        <v>9.4094529999999992</v>
      </c>
      <c r="H88" s="4">
        <v>12.30836</v>
      </c>
      <c r="I88" s="4">
        <v>0.78019839999999996</v>
      </c>
      <c r="J88" s="4" t="s">
        <v>25</v>
      </c>
      <c r="K88" s="4" t="s">
        <v>25</v>
      </c>
      <c r="L88" s="4" t="s">
        <v>25</v>
      </c>
      <c r="M88" s="4" t="s">
        <v>70</v>
      </c>
    </row>
    <row r="89" spans="1:13" x14ac:dyDescent="0.25">
      <c r="A89" s="4">
        <v>110</v>
      </c>
      <c r="B89" s="4">
        <v>6</v>
      </c>
      <c r="C89" s="4">
        <v>3</v>
      </c>
      <c r="D89" s="4">
        <v>-8428.1049999999996</v>
      </c>
      <c r="E89" s="4">
        <v>-746.97879999999998</v>
      </c>
      <c r="F89" s="4">
        <v>1.1082019999999999</v>
      </c>
      <c r="G89" s="4">
        <v>0.96805949999999996</v>
      </c>
      <c r="H89" s="4">
        <v>3.732478</v>
      </c>
      <c r="I89" s="4">
        <v>0.87286759999999997</v>
      </c>
      <c r="J89" s="4" t="s">
        <v>25</v>
      </c>
      <c r="K89" s="4" t="s">
        <v>25</v>
      </c>
      <c r="L89" s="4" t="s">
        <v>25</v>
      </c>
      <c r="M89" s="4" t="s">
        <v>71</v>
      </c>
    </row>
    <row r="90" spans="1:13" x14ac:dyDescent="0.25">
      <c r="A90" s="4">
        <v>111</v>
      </c>
      <c r="B90" s="4">
        <v>7</v>
      </c>
      <c r="C90" s="4">
        <v>3</v>
      </c>
      <c r="D90" s="4">
        <v>-8427.8700000000008</v>
      </c>
      <c r="E90" s="4">
        <v>-746.86929999999995</v>
      </c>
      <c r="F90" s="4">
        <v>3.4088880000000001</v>
      </c>
      <c r="G90" s="4">
        <v>9.1383120000000009</v>
      </c>
      <c r="H90" s="4">
        <v>11.432700000000001</v>
      </c>
      <c r="I90" s="4">
        <v>0.87823189999999995</v>
      </c>
      <c r="J90" s="4" t="s">
        <v>25</v>
      </c>
      <c r="K90" s="4" t="s">
        <v>25</v>
      </c>
      <c r="L90" s="4" t="s">
        <v>25</v>
      </c>
      <c r="M90" s="4" t="s">
        <v>71</v>
      </c>
    </row>
    <row r="91" spans="1:13" x14ac:dyDescent="0.25">
      <c r="A91" s="4">
        <v>112</v>
      </c>
      <c r="B91" s="4">
        <v>8</v>
      </c>
      <c r="C91" s="4">
        <v>3</v>
      </c>
      <c r="D91" s="4">
        <v>-8452.49</v>
      </c>
      <c r="E91" s="4">
        <v>-745.78129999999999</v>
      </c>
      <c r="F91" s="4">
        <v>2.922031</v>
      </c>
      <c r="G91" s="4">
        <v>6.6938029999999999</v>
      </c>
      <c r="H91" s="4">
        <v>10.44539</v>
      </c>
      <c r="I91" s="4">
        <v>0.77066310000000005</v>
      </c>
      <c r="J91" s="4" t="s">
        <v>25</v>
      </c>
      <c r="K91" s="4" t="s">
        <v>25</v>
      </c>
      <c r="L91" s="4" t="s">
        <v>25</v>
      </c>
      <c r="M91" s="4" t="s">
        <v>71</v>
      </c>
    </row>
    <row r="92" spans="1:13" x14ac:dyDescent="0.25">
      <c r="A92" s="4">
        <v>115</v>
      </c>
      <c r="B92" s="4">
        <v>11</v>
      </c>
      <c r="C92" s="4">
        <v>3</v>
      </c>
      <c r="D92" s="4">
        <v>-8420.8829999999998</v>
      </c>
      <c r="E92" s="4">
        <v>-742.36440000000005</v>
      </c>
      <c r="F92" s="4">
        <v>1.525857</v>
      </c>
      <c r="G92" s="4">
        <v>1.8619790000000001</v>
      </c>
      <c r="H92" s="4">
        <v>5.21807</v>
      </c>
      <c r="I92" s="4">
        <v>0.85900529999999997</v>
      </c>
      <c r="J92" s="4" t="s">
        <v>26</v>
      </c>
      <c r="K92" s="4" t="s">
        <v>25</v>
      </c>
      <c r="L92" s="4" t="s">
        <v>25</v>
      </c>
      <c r="M92" s="4" t="s">
        <v>64</v>
      </c>
    </row>
    <row r="93" spans="1:13" x14ac:dyDescent="0.25">
      <c r="A93" s="4">
        <v>116</v>
      </c>
      <c r="B93" s="4">
        <v>12</v>
      </c>
      <c r="C93" s="4">
        <v>3</v>
      </c>
      <c r="D93" s="4">
        <v>-8448.36</v>
      </c>
      <c r="E93" s="4">
        <v>-741.83529999999996</v>
      </c>
      <c r="F93" s="4">
        <v>2.9439280000000001</v>
      </c>
      <c r="G93" s="4">
        <v>6.5878889999999997</v>
      </c>
      <c r="H93" s="4">
        <v>12.14662</v>
      </c>
      <c r="I93" s="4">
        <v>0.56088760000000004</v>
      </c>
      <c r="J93" s="4" t="s">
        <v>25</v>
      </c>
      <c r="K93" s="4" t="s">
        <v>25</v>
      </c>
      <c r="L93" s="4" t="s">
        <v>25</v>
      </c>
      <c r="M93" s="4" t="s">
        <v>72</v>
      </c>
    </row>
    <row r="94" spans="1:13" x14ac:dyDescent="0.25">
      <c r="A94" s="4">
        <v>121</v>
      </c>
      <c r="B94" s="4">
        <v>17</v>
      </c>
      <c r="C94" s="4">
        <v>3</v>
      </c>
      <c r="D94" s="4">
        <v>-8464.3549999999996</v>
      </c>
      <c r="E94" s="4">
        <v>-735.24869999999999</v>
      </c>
      <c r="F94" s="4">
        <v>2.4725609999999998</v>
      </c>
      <c r="G94" s="4">
        <v>4.7576840000000002</v>
      </c>
      <c r="H94" s="4">
        <v>8.2458720000000003</v>
      </c>
      <c r="I94" s="4">
        <v>0.87894799999999995</v>
      </c>
      <c r="J94" s="4" t="s">
        <v>25</v>
      </c>
      <c r="K94" s="4" t="s">
        <v>25</v>
      </c>
      <c r="L94" s="4" t="s">
        <v>25</v>
      </c>
      <c r="M94" s="4" t="s">
        <v>73</v>
      </c>
    </row>
    <row r="95" spans="1:13" x14ac:dyDescent="0.25">
      <c r="A95" s="4">
        <v>126</v>
      </c>
      <c r="B95" s="4">
        <v>22</v>
      </c>
      <c r="C95" s="4">
        <v>3</v>
      </c>
      <c r="D95" s="4">
        <v>-8444.5589999999993</v>
      </c>
      <c r="E95" s="4">
        <v>-728.01869999999997</v>
      </c>
      <c r="F95" s="4">
        <v>1.6809989999999999</v>
      </c>
      <c r="G95" s="4">
        <v>2.2411530000000002</v>
      </c>
      <c r="H95" s="4">
        <v>5.7860509999999996</v>
      </c>
      <c r="I95" s="4">
        <v>0.84090670000000001</v>
      </c>
      <c r="J95" s="4" t="s">
        <v>25</v>
      </c>
      <c r="K95" s="4" t="s">
        <v>25</v>
      </c>
      <c r="L95" s="4" t="s">
        <v>25</v>
      </c>
      <c r="M95" s="4" t="s">
        <v>74</v>
      </c>
    </row>
    <row r="96" spans="1:13" x14ac:dyDescent="0.25">
      <c r="A96" s="4">
        <v>133</v>
      </c>
      <c r="B96" s="4">
        <v>29</v>
      </c>
      <c r="C96" s="4">
        <v>3</v>
      </c>
      <c r="D96" s="4">
        <v>-8434.1949999999997</v>
      </c>
      <c r="E96" s="4">
        <v>-719.14030000000002</v>
      </c>
      <c r="F96" s="4">
        <v>1.1063460000000001</v>
      </c>
      <c r="G96" s="4">
        <v>0.83460710000000005</v>
      </c>
      <c r="H96" s="4">
        <v>4.5199350000000003</v>
      </c>
      <c r="I96" s="4">
        <v>0.51316669999999998</v>
      </c>
      <c r="J96" s="4" t="s">
        <v>26</v>
      </c>
      <c r="K96" s="4" t="s">
        <v>25</v>
      </c>
      <c r="L96" s="4" t="s">
        <v>25</v>
      </c>
      <c r="M96" s="4" t="s">
        <v>74</v>
      </c>
    </row>
    <row r="97" spans="1:13" x14ac:dyDescent="0.25">
      <c r="A97" s="4">
        <v>135</v>
      </c>
      <c r="B97" s="4">
        <v>1</v>
      </c>
      <c r="C97" s="4">
        <v>4</v>
      </c>
      <c r="D97" s="4">
        <v>-10581.84</v>
      </c>
      <c r="E97" s="4">
        <v>-3544.864</v>
      </c>
      <c r="F97" s="4">
        <v>1.9400470000000001</v>
      </c>
      <c r="G97" s="4">
        <v>2.921125</v>
      </c>
      <c r="H97" s="4">
        <v>6.5958389999999998</v>
      </c>
      <c r="I97" s="4">
        <v>0.84343360000000001</v>
      </c>
      <c r="J97" s="4" t="s">
        <v>25</v>
      </c>
      <c r="K97" s="4" t="s">
        <v>25</v>
      </c>
      <c r="L97" s="4" t="s">
        <v>25</v>
      </c>
      <c r="M97" s="4" t="s">
        <v>75</v>
      </c>
    </row>
    <row r="98" spans="1:13" x14ac:dyDescent="0.25">
      <c r="A98" s="4">
        <v>147</v>
      </c>
      <c r="B98" s="4">
        <v>13</v>
      </c>
      <c r="C98" s="4">
        <v>4</v>
      </c>
      <c r="D98" s="4">
        <v>-10595.78</v>
      </c>
      <c r="E98" s="4">
        <v>-3522.777</v>
      </c>
      <c r="F98" s="4">
        <v>1.334438</v>
      </c>
      <c r="G98" s="4">
        <v>1.387481</v>
      </c>
      <c r="H98" s="4">
        <v>4.7513690000000004</v>
      </c>
      <c r="I98" s="4">
        <v>0.77202329999999997</v>
      </c>
      <c r="J98" s="4" t="s">
        <v>25</v>
      </c>
      <c r="K98" s="4" t="s">
        <v>26</v>
      </c>
      <c r="L98" s="4" t="s">
        <v>25</v>
      </c>
      <c r="M98" s="4" t="s">
        <v>76</v>
      </c>
    </row>
    <row r="99" spans="1:13" x14ac:dyDescent="0.25">
      <c r="A99" s="4">
        <v>149</v>
      </c>
      <c r="B99" s="4">
        <v>15</v>
      </c>
      <c r="C99" s="4">
        <v>4</v>
      </c>
      <c r="D99" s="4">
        <v>-10613.62</v>
      </c>
      <c r="E99" s="4">
        <v>-3520.1379999999999</v>
      </c>
      <c r="F99" s="4">
        <v>2.5862370000000001</v>
      </c>
      <c r="G99" s="4">
        <v>5.2766659999999996</v>
      </c>
      <c r="H99" s="4">
        <v>10.505839999999999</v>
      </c>
      <c r="I99" s="4">
        <v>0.60053570000000001</v>
      </c>
      <c r="J99" s="4" t="s">
        <v>25</v>
      </c>
      <c r="K99" s="4" t="s">
        <v>25</v>
      </c>
      <c r="L99" s="4" t="s">
        <v>25</v>
      </c>
      <c r="M99" s="4" t="s">
        <v>73</v>
      </c>
    </row>
    <row r="100" spans="1:13" x14ac:dyDescent="0.25">
      <c r="A100" s="4">
        <v>151</v>
      </c>
      <c r="B100" s="4">
        <v>17</v>
      </c>
      <c r="C100" s="4">
        <v>4</v>
      </c>
      <c r="D100" s="4">
        <v>-10603.43</v>
      </c>
      <c r="E100" s="4">
        <v>-3516.9720000000002</v>
      </c>
      <c r="F100" s="4">
        <v>1.0834950000000001</v>
      </c>
      <c r="G100" s="4">
        <v>0.92993029999999999</v>
      </c>
      <c r="H100" s="4">
        <v>3.7863889999999998</v>
      </c>
      <c r="I100" s="4">
        <v>0.81478070000000002</v>
      </c>
      <c r="J100" s="4" t="s">
        <v>25</v>
      </c>
      <c r="K100" s="4" t="s">
        <v>25</v>
      </c>
      <c r="L100" s="4" t="s">
        <v>25</v>
      </c>
      <c r="M100" s="4" t="s">
        <v>77</v>
      </c>
    </row>
    <row r="101" spans="1:13" x14ac:dyDescent="0.25">
      <c r="A101" s="4">
        <v>175</v>
      </c>
      <c r="B101" s="4">
        <v>14</v>
      </c>
      <c r="C101" s="4">
        <v>5</v>
      </c>
      <c r="D101" s="4">
        <v>-12205.95</v>
      </c>
      <c r="E101" s="4">
        <v>-2291.2739999999999</v>
      </c>
      <c r="F101" s="4">
        <v>1.350921</v>
      </c>
      <c r="G101" s="4">
        <v>1.440439</v>
      </c>
      <c r="H101" s="4">
        <v>4.6593369999999998</v>
      </c>
      <c r="I101" s="4">
        <v>0.83346480000000001</v>
      </c>
      <c r="J101" s="4" t="s">
        <v>56</v>
      </c>
      <c r="K101" s="4" t="s">
        <v>25</v>
      </c>
      <c r="L101" s="4" t="s">
        <v>25</v>
      </c>
      <c r="M101" s="4" t="s">
        <v>78</v>
      </c>
    </row>
    <row r="102" spans="1:13" x14ac:dyDescent="0.25">
      <c r="A102" s="4">
        <v>182</v>
      </c>
      <c r="B102" s="4">
        <v>21</v>
      </c>
      <c r="C102" s="4">
        <v>5</v>
      </c>
      <c r="D102" s="4">
        <v>-12217.51</v>
      </c>
      <c r="E102" s="4">
        <v>-2283.5309999999999</v>
      </c>
      <c r="F102" s="4">
        <v>2.6935570000000002</v>
      </c>
      <c r="G102" s="4">
        <v>5.6092380000000004</v>
      </c>
      <c r="H102" s="4">
        <v>10.00102</v>
      </c>
      <c r="I102" s="4">
        <v>0.70445970000000002</v>
      </c>
      <c r="J102" s="4" t="s">
        <v>25</v>
      </c>
      <c r="K102" s="4" t="s">
        <v>25</v>
      </c>
      <c r="L102" s="4" t="s">
        <v>25</v>
      </c>
      <c r="M102" s="4" t="s">
        <v>79</v>
      </c>
    </row>
    <row r="103" spans="1:13" x14ac:dyDescent="0.25">
      <c r="A103" s="4">
        <v>186</v>
      </c>
      <c r="B103" s="4">
        <v>25</v>
      </c>
      <c r="C103" s="4">
        <v>5</v>
      </c>
      <c r="D103" s="4">
        <v>-12215.02</v>
      </c>
      <c r="E103" s="4">
        <v>-2280.3580000000002</v>
      </c>
      <c r="F103" s="4">
        <v>2.2830629999999998</v>
      </c>
      <c r="G103" s="4">
        <v>4.1221969999999999</v>
      </c>
      <c r="H103" s="4">
        <v>7.7699220000000002</v>
      </c>
      <c r="I103" s="4">
        <v>0.85770139999999995</v>
      </c>
      <c r="J103" s="4" t="s">
        <v>57</v>
      </c>
      <c r="K103" s="4" t="s">
        <v>25</v>
      </c>
      <c r="L103" s="4" t="s">
        <v>25</v>
      </c>
      <c r="M103" s="4" t="s">
        <v>64</v>
      </c>
    </row>
    <row r="104" spans="1:13" x14ac:dyDescent="0.25">
      <c r="A104" s="4">
        <v>189</v>
      </c>
      <c r="B104" s="4">
        <v>28</v>
      </c>
      <c r="C104" s="4">
        <v>5</v>
      </c>
      <c r="D104" s="4">
        <v>-12227.34</v>
      </c>
      <c r="E104" s="4">
        <v>-2276.4580000000001</v>
      </c>
      <c r="F104" s="4">
        <v>3.5245359999999999</v>
      </c>
      <c r="G104" s="4">
        <v>9.1933880000000006</v>
      </c>
      <c r="H104" s="4">
        <v>14.40005</v>
      </c>
      <c r="I104" s="4">
        <v>0.55691429999999997</v>
      </c>
      <c r="J104" s="4" t="s">
        <v>25</v>
      </c>
      <c r="K104" s="4" t="s">
        <v>13</v>
      </c>
      <c r="L104" s="4" t="s">
        <v>26</v>
      </c>
      <c r="M104" s="4" t="s">
        <v>46</v>
      </c>
    </row>
    <row r="105" spans="1:13" x14ac:dyDescent="0.25">
      <c r="A105" s="4">
        <v>191</v>
      </c>
      <c r="B105" s="4">
        <v>30</v>
      </c>
      <c r="C105" s="4">
        <v>5</v>
      </c>
      <c r="D105" s="4">
        <v>-12188.69</v>
      </c>
      <c r="E105" s="4">
        <v>-2272.75</v>
      </c>
      <c r="F105" s="4">
        <v>2.6170179999999998</v>
      </c>
      <c r="G105" s="4">
        <v>5.3613970000000002</v>
      </c>
      <c r="H105" s="4">
        <v>10.27711</v>
      </c>
      <c r="I105" s="4">
        <v>0.63764129999999997</v>
      </c>
      <c r="J105" s="4" t="s">
        <v>25</v>
      </c>
      <c r="K105" s="4" t="s">
        <v>25</v>
      </c>
      <c r="L105" s="4" t="s">
        <v>25</v>
      </c>
      <c r="M105" s="4" t="s">
        <v>68</v>
      </c>
    </row>
    <row r="106" spans="1:13" x14ac:dyDescent="0.25">
      <c r="A106" s="4">
        <v>202</v>
      </c>
      <c r="B106" s="4">
        <v>41</v>
      </c>
      <c r="C106" s="4">
        <v>5</v>
      </c>
      <c r="D106" s="4">
        <v>-12198.65</v>
      </c>
      <c r="E106" s="4">
        <v>-2266.5500000000002</v>
      </c>
      <c r="F106" s="4"/>
      <c r="G106" s="4"/>
      <c r="H106" s="4"/>
      <c r="I106" s="4"/>
      <c r="J106" s="4" t="s">
        <v>25</v>
      </c>
      <c r="K106" s="4" t="s">
        <v>25</v>
      </c>
      <c r="L106" s="4" t="s">
        <v>25</v>
      </c>
      <c r="M106" s="4" t="s">
        <v>80</v>
      </c>
    </row>
    <row r="107" spans="1:13" x14ac:dyDescent="0.25">
      <c r="A107" s="4">
        <v>205</v>
      </c>
      <c r="B107" s="4">
        <v>44</v>
      </c>
      <c r="C107" s="4">
        <v>5</v>
      </c>
      <c r="D107" s="4">
        <v>-12187</v>
      </c>
      <c r="E107" s="4">
        <v>-2278.25</v>
      </c>
      <c r="F107" s="4"/>
      <c r="G107" s="4"/>
      <c r="H107" s="4"/>
      <c r="I107" s="4"/>
      <c r="J107" s="4" t="s">
        <v>25</v>
      </c>
      <c r="K107" s="4" t="s">
        <v>25</v>
      </c>
      <c r="L107" s="4" t="s">
        <v>25</v>
      </c>
      <c r="M107" s="4" t="s">
        <v>81</v>
      </c>
    </row>
    <row r="108" spans="1:13" x14ac:dyDescent="0.25">
      <c r="A108" s="4">
        <v>208</v>
      </c>
      <c r="B108" s="4">
        <v>3</v>
      </c>
      <c r="C108" s="4">
        <v>6</v>
      </c>
      <c r="D108" s="4">
        <v>-8994.4040000000005</v>
      </c>
      <c r="E108" s="4">
        <v>-2530.047</v>
      </c>
      <c r="F108" s="4">
        <v>1.9146099999999999</v>
      </c>
      <c r="G108" s="4">
        <v>2.8491029999999999</v>
      </c>
      <c r="H108" s="4">
        <v>7.3005139999999997</v>
      </c>
      <c r="I108" s="4">
        <v>0.67149400000000004</v>
      </c>
      <c r="J108" s="4" t="s">
        <v>25</v>
      </c>
      <c r="K108" s="4" t="s">
        <v>25</v>
      </c>
      <c r="L108" s="4" t="s">
        <v>25</v>
      </c>
      <c r="M108" s="4" t="s">
        <v>82</v>
      </c>
    </row>
    <row r="109" spans="1:13" x14ac:dyDescent="0.25">
      <c r="A109" s="4">
        <v>217</v>
      </c>
      <c r="B109" s="4">
        <v>12</v>
      </c>
      <c r="C109" s="4">
        <v>6</v>
      </c>
      <c r="D109" s="4">
        <v>-9010.7690000000002</v>
      </c>
      <c r="E109" s="4">
        <v>-2508.6689999999999</v>
      </c>
      <c r="F109" s="4">
        <v>2.1895349999999998</v>
      </c>
      <c r="G109" s="4">
        <v>3.7430219999999998</v>
      </c>
      <c r="H109" s="4">
        <v>7.3952549999999997</v>
      </c>
      <c r="I109" s="4">
        <v>0.85971989999999998</v>
      </c>
      <c r="J109" s="4" t="s">
        <v>25</v>
      </c>
      <c r="K109" s="4" t="s">
        <v>14</v>
      </c>
      <c r="L109" s="4" t="s">
        <v>25</v>
      </c>
      <c r="M109" s="4" t="s">
        <v>83</v>
      </c>
    </row>
    <row r="110" spans="1:13" x14ac:dyDescent="0.25">
      <c r="A110" s="4">
        <v>238</v>
      </c>
      <c r="B110" s="4">
        <v>8</v>
      </c>
      <c r="C110" s="4">
        <v>7</v>
      </c>
      <c r="D110" s="4">
        <v>-9158.2980000000007</v>
      </c>
      <c r="E110" s="4">
        <v>1606.3140000000001</v>
      </c>
      <c r="F110" s="4">
        <v>2.7075930000000001</v>
      </c>
      <c r="G110" s="4">
        <v>5.7808190000000002</v>
      </c>
      <c r="H110" s="4">
        <v>9.2489740000000005</v>
      </c>
      <c r="I110" s="4">
        <v>0.84887380000000001</v>
      </c>
      <c r="J110" s="4" t="s">
        <v>25</v>
      </c>
      <c r="K110" s="4" t="s">
        <v>25</v>
      </c>
      <c r="L110" s="4" t="s">
        <v>25</v>
      </c>
      <c r="M110" s="4" t="s">
        <v>68</v>
      </c>
    </row>
    <row r="111" spans="1:13" x14ac:dyDescent="0.25">
      <c r="A111" s="4">
        <v>241</v>
      </c>
      <c r="B111" s="4">
        <v>11</v>
      </c>
      <c r="C111" s="4">
        <v>7</v>
      </c>
      <c r="D111" s="4">
        <v>-9152.2829999999994</v>
      </c>
      <c r="E111" s="4">
        <v>1612.174</v>
      </c>
      <c r="F111" s="4">
        <v>3.1210830000000001</v>
      </c>
      <c r="G111" s="4">
        <v>7.3843670000000001</v>
      </c>
      <c r="H111" s="4">
        <v>11.810079999999999</v>
      </c>
      <c r="I111" s="4">
        <v>0.66504129999999995</v>
      </c>
      <c r="J111" s="4" t="s">
        <v>25</v>
      </c>
      <c r="K111" s="4" t="s">
        <v>25</v>
      </c>
      <c r="L111" s="4" t="s">
        <v>25</v>
      </c>
      <c r="M111" s="4" t="s">
        <v>74</v>
      </c>
    </row>
    <row r="112" spans="1:13" x14ac:dyDescent="0.25">
      <c r="A112" s="4">
        <v>252</v>
      </c>
      <c r="B112" s="4">
        <v>22</v>
      </c>
      <c r="C112" s="4">
        <v>7</v>
      </c>
      <c r="D112" s="4">
        <v>-9195.77</v>
      </c>
      <c r="E112" s="4">
        <v>1635.287</v>
      </c>
      <c r="F112" s="4">
        <v>1.5241229999999999</v>
      </c>
      <c r="G112" s="4">
        <v>1.7963119999999999</v>
      </c>
      <c r="H112" s="4">
        <v>5.2877710000000002</v>
      </c>
      <c r="I112" s="4">
        <v>0.80700700000000003</v>
      </c>
      <c r="J112" s="4" t="s">
        <v>26</v>
      </c>
      <c r="K112" s="4" t="s">
        <v>25</v>
      </c>
      <c r="L112" s="4" t="s">
        <v>26</v>
      </c>
      <c r="M112" s="4" t="s">
        <v>84</v>
      </c>
    </row>
    <row r="113" spans="1:13" x14ac:dyDescent="0.25">
      <c r="A113" s="4">
        <v>261</v>
      </c>
      <c r="B113" s="4">
        <v>5</v>
      </c>
      <c r="C113" s="4">
        <v>8</v>
      </c>
      <c r="D113" s="4">
        <v>-8962.7630000000008</v>
      </c>
      <c r="E113" s="4">
        <v>5027.6459999999997</v>
      </c>
      <c r="F113" s="4">
        <v>2.8921839999999999</v>
      </c>
      <c r="G113" s="4">
        <v>3.4570530000000002</v>
      </c>
      <c r="H113" s="4">
        <v>17.465969999999999</v>
      </c>
      <c r="I113" s="4">
        <v>0.14235120000000001</v>
      </c>
      <c r="J113" s="4" t="s">
        <v>26</v>
      </c>
      <c r="K113" s="4" t="s">
        <v>25</v>
      </c>
      <c r="L113" s="4" t="s">
        <v>25</v>
      </c>
      <c r="M113" s="4" t="s">
        <v>85</v>
      </c>
    </row>
    <row r="114" spans="1:13" x14ac:dyDescent="0.25">
      <c r="A114" s="4">
        <v>264</v>
      </c>
      <c r="B114" s="4">
        <v>8</v>
      </c>
      <c r="C114" s="4">
        <v>8</v>
      </c>
      <c r="D114" s="4">
        <v>-8966.59</v>
      </c>
      <c r="E114" s="4">
        <v>5032.9949999999999</v>
      </c>
      <c r="F114" s="4">
        <v>1.7659800000000001</v>
      </c>
      <c r="G114" s="4">
        <v>2.372487</v>
      </c>
      <c r="H114" s="4">
        <v>5.7768009999999999</v>
      </c>
      <c r="I114" s="4">
        <v>0.89303779999999999</v>
      </c>
      <c r="J114" s="4" t="s">
        <v>25</v>
      </c>
      <c r="K114" s="4" t="s">
        <v>25</v>
      </c>
      <c r="L114" s="4" t="s">
        <v>25</v>
      </c>
      <c r="M114" s="4" t="s">
        <v>28</v>
      </c>
    </row>
    <row r="115" spans="1:13" x14ac:dyDescent="0.25">
      <c r="A115" s="4">
        <v>267</v>
      </c>
      <c r="B115" s="4">
        <v>11</v>
      </c>
      <c r="C115" s="4">
        <v>8</v>
      </c>
      <c r="D115" s="4">
        <v>-8962.0959999999995</v>
      </c>
      <c r="E115" s="4">
        <v>5038.1000000000004</v>
      </c>
      <c r="F115" s="4">
        <v>0.86267539999999998</v>
      </c>
      <c r="G115" s="4">
        <v>0.59312180000000003</v>
      </c>
      <c r="H115" s="4">
        <v>2.980432</v>
      </c>
      <c r="I115" s="4">
        <v>0.83873759999999997</v>
      </c>
      <c r="J115" s="4" t="s">
        <v>25</v>
      </c>
      <c r="K115" s="4" t="s">
        <v>25</v>
      </c>
      <c r="L115" s="4" t="s">
        <v>25</v>
      </c>
      <c r="M115" s="4" t="s">
        <v>51</v>
      </c>
    </row>
    <row r="116" spans="1:13" x14ac:dyDescent="0.25">
      <c r="A116" s="4">
        <v>274</v>
      </c>
      <c r="B116" s="4">
        <v>18</v>
      </c>
      <c r="C116" s="4">
        <v>8</v>
      </c>
      <c r="D116" s="4">
        <v>-8949.6620000000003</v>
      </c>
      <c r="E116" s="4">
        <v>5044.6589999999997</v>
      </c>
      <c r="F116" s="4">
        <v>1.0946940000000001</v>
      </c>
      <c r="G116" s="4">
        <v>0.8430803</v>
      </c>
      <c r="H116" s="4">
        <v>4.3897820000000003</v>
      </c>
      <c r="I116" s="4">
        <v>0.54957100000000003</v>
      </c>
      <c r="J116" s="4" t="s">
        <v>56</v>
      </c>
      <c r="K116" s="4" t="s">
        <v>25</v>
      </c>
      <c r="L116" s="4" t="s">
        <v>25</v>
      </c>
      <c r="M116" s="4" t="s">
        <v>73</v>
      </c>
    </row>
    <row r="117" spans="1:13" x14ac:dyDescent="0.25">
      <c r="A117" s="4">
        <v>280</v>
      </c>
      <c r="B117" s="4">
        <v>24</v>
      </c>
      <c r="C117" s="4">
        <v>8</v>
      </c>
      <c r="D117" s="4">
        <v>-9004.5319999999992</v>
      </c>
      <c r="E117" s="4">
        <v>5052.4759999999997</v>
      </c>
      <c r="F117" s="4">
        <v>0.92554910000000001</v>
      </c>
      <c r="G117" s="4">
        <v>0.51898160000000004</v>
      </c>
      <c r="H117" s="4">
        <v>3.8533810000000002</v>
      </c>
      <c r="I117" s="4">
        <v>0.43904480000000001</v>
      </c>
      <c r="J117" s="4" t="s">
        <v>25</v>
      </c>
      <c r="K117" s="4" t="s">
        <v>25</v>
      </c>
      <c r="L117" s="4" t="s">
        <v>25</v>
      </c>
      <c r="M117" s="4" t="s">
        <v>86</v>
      </c>
    </row>
    <row r="118" spans="1:13" x14ac:dyDescent="0.25">
      <c r="A118" s="4">
        <v>281</v>
      </c>
      <c r="B118" s="4">
        <v>25</v>
      </c>
      <c r="C118" s="4">
        <v>8</v>
      </c>
      <c r="D118" s="4">
        <v>-8979.4940000000006</v>
      </c>
      <c r="E118" s="4">
        <v>5057.3010000000004</v>
      </c>
      <c r="F118" s="4">
        <v>1.1096109999999999</v>
      </c>
      <c r="G118" s="4">
        <v>0.97865100000000005</v>
      </c>
      <c r="H118" s="4">
        <v>3.716688</v>
      </c>
      <c r="I118" s="4">
        <v>0.88993129999999998</v>
      </c>
      <c r="J118" s="4" t="s">
        <v>15</v>
      </c>
      <c r="K118" s="4" t="s">
        <v>25</v>
      </c>
      <c r="L118" s="4" t="s">
        <v>25</v>
      </c>
      <c r="M118" s="4" t="s">
        <v>87</v>
      </c>
    </row>
    <row r="119" spans="1:13" x14ac:dyDescent="0.25">
      <c r="A119" s="4">
        <v>288</v>
      </c>
      <c r="B119" s="4">
        <v>1</v>
      </c>
      <c r="C119" s="4">
        <v>9</v>
      </c>
      <c r="D119" s="4">
        <v>-6670.951</v>
      </c>
      <c r="E119" s="4">
        <v>3100.8310000000001</v>
      </c>
      <c r="F119" s="4">
        <v>1.7433129999999999</v>
      </c>
      <c r="G119" s="4">
        <v>1.7836019999999999</v>
      </c>
      <c r="H119" s="4">
        <v>8.2812839999999994</v>
      </c>
      <c r="I119" s="4">
        <v>0.32669569999999998</v>
      </c>
      <c r="J119" s="4" t="s">
        <v>26</v>
      </c>
      <c r="K119" s="4" t="s">
        <v>25</v>
      </c>
      <c r="L119" s="4" t="s">
        <v>26</v>
      </c>
      <c r="M119" s="4" t="s">
        <v>88</v>
      </c>
    </row>
    <row r="120" spans="1:13" x14ac:dyDescent="0.25">
      <c r="A120" s="4">
        <v>333</v>
      </c>
      <c r="B120" s="4">
        <v>46</v>
      </c>
      <c r="C120" s="4">
        <v>9</v>
      </c>
      <c r="D120" s="4">
        <v>-6705.5870000000004</v>
      </c>
      <c r="E120" s="4">
        <v>3140.6</v>
      </c>
      <c r="F120" s="4">
        <v>1.7330179999999999</v>
      </c>
      <c r="G120" s="4">
        <v>2.266572</v>
      </c>
      <c r="H120" s="4">
        <v>11.626010000000001</v>
      </c>
      <c r="I120" s="4">
        <v>0.2106439</v>
      </c>
      <c r="J120" s="4" t="s">
        <v>25</v>
      </c>
      <c r="K120" s="4" t="s">
        <v>25</v>
      </c>
      <c r="L120" s="4" t="s">
        <v>25</v>
      </c>
      <c r="M120" s="4" t="s">
        <v>76</v>
      </c>
    </row>
    <row r="121" spans="1:13" x14ac:dyDescent="0.25">
      <c r="A121" s="4">
        <v>339</v>
      </c>
      <c r="B121" s="4">
        <v>52</v>
      </c>
      <c r="C121" s="4">
        <v>9</v>
      </c>
      <c r="D121" s="4">
        <v>-6716.5</v>
      </c>
      <c r="E121" s="4">
        <v>3130.45</v>
      </c>
      <c r="F121" s="4"/>
      <c r="G121" s="4"/>
      <c r="H121" s="4"/>
      <c r="I121" s="4"/>
      <c r="J121" s="4" t="s">
        <v>27</v>
      </c>
      <c r="K121" s="4" t="s">
        <v>25</v>
      </c>
      <c r="L121" s="4" t="s">
        <v>25</v>
      </c>
      <c r="M121" s="4" t="s">
        <v>78</v>
      </c>
    </row>
    <row r="122" spans="1:13" x14ac:dyDescent="0.25">
      <c r="A122" s="4">
        <v>345</v>
      </c>
      <c r="B122" s="4">
        <v>5</v>
      </c>
      <c r="C122" s="4">
        <v>10</v>
      </c>
      <c r="D122" s="4">
        <v>-8661.4279999999999</v>
      </c>
      <c r="E122" s="4">
        <v>295.19450000000001</v>
      </c>
      <c r="F122" s="4">
        <v>3.0552489999999999</v>
      </c>
      <c r="G122" s="4">
        <v>7.2276129999999998</v>
      </c>
      <c r="H122" s="4">
        <v>10.728020000000001</v>
      </c>
      <c r="I122" s="4">
        <v>0.78885320000000003</v>
      </c>
      <c r="J122" s="4" t="s">
        <v>26</v>
      </c>
      <c r="K122" s="4" t="s">
        <v>25</v>
      </c>
      <c r="L122" s="4" t="s">
        <v>26</v>
      </c>
      <c r="M122" s="4" t="s">
        <v>89</v>
      </c>
    </row>
    <row r="123" spans="1:13" x14ac:dyDescent="0.25">
      <c r="A123" s="4">
        <v>395</v>
      </c>
      <c r="B123" s="4">
        <v>18</v>
      </c>
      <c r="C123" s="4">
        <v>11</v>
      </c>
      <c r="D123" s="4">
        <v>-11261.56</v>
      </c>
      <c r="E123" s="4">
        <v>2794.0259999999998</v>
      </c>
      <c r="F123" s="4">
        <v>2.4279139999999999</v>
      </c>
      <c r="G123" s="4">
        <v>4.6136400000000002</v>
      </c>
      <c r="H123" s="4">
        <v>8.3221139999999991</v>
      </c>
      <c r="I123" s="4">
        <v>0.83679139999999996</v>
      </c>
      <c r="J123" s="4" t="s">
        <v>56</v>
      </c>
      <c r="K123" s="4" t="s">
        <v>25</v>
      </c>
      <c r="L123" s="4" t="s">
        <v>25</v>
      </c>
      <c r="M123" s="4" t="s">
        <v>90</v>
      </c>
    </row>
    <row r="124" spans="1:13" x14ac:dyDescent="0.25">
      <c r="A124" s="4">
        <v>399</v>
      </c>
      <c r="B124" s="4">
        <v>22</v>
      </c>
      <c r="C124" s="4">
        <v>11</v>
      </c>
      <c r="D124" s="4">
        <v>-11262.97</v>
      </c>
      <c r="E124" s="4">
        <v>2796.8119999999999</v>
      </c>
      <c r="F124" s="4">
        <v>2.409068</v>
      </c>
      <c r="G124" s="4">
        <v>4.4590050000000003</v>
      </c>
      <c r="H124" s="4">
        <v>8.337904</v>
      </c>
      <c r="I124" s="4">
        <v>0.80568439999999997</v>
      </c>
      <c r="J124" s="4" t="s">
        <v>25</v>
      </c>
      <c r="K124" s="4" t="s">
        <v>25</v>
      </c>
      <c r="L124" s="4" t="s">
        <v>25</v>
      </c>
      <c r="M124" s="4" t="s">
        <v>74</v>
      </c>
    </row>
    <row r="125" spans="1:13" x14ac:dyDescent="0.25">
      <c r="A125" s="14">
        <v>25</v>
      </c>
      <c r="B125" s="14">
        <v>1</v>
      </c>
      <c r="C125" s="14" t="s">
        <v>31</v>
      </c>
      <c r="D125" s="14">
        <v>-11004.2</v>
      </c>
      <c r="E125" s="14">
        <v>2650.0419999999999</v>
      </c>
      <c r="F125" s="14">
        <v>4.8366199999999999</v>
      </c>
      <c r="G125" s="14">
        <v>18.27685</v>
      </c>
      <c r="H125" s="14">
        <v>16.892469999999999</v>
      </c>
      <c r="I125" s="14">
        <v>0.80465810000000004</v>
      </c>
      <c r="J125" s="15" t="s">
        <v>25</v>
      </c>
      <c r="K125" s="15" t="s">
        <v>25</v>
      </c>
      <c r="L125" s="15" t="s">
        <v>25</v>
      </c>
      <c r="M125" s="15" t="s">
        <v>38</v>
      </c>
    </row>
    <row r="126" spans="1:13" ht="30" x14ac:dyDescent="0.25">
      <c r="A126" s="14">
        <v>41</v>
      </c>
      <c r="B126" s="14">
        <v>17</v>
      </c>
      <c r="C126" s="14" t="s">
        <v>31</v>
      </c>
      <c r="D126" s="14">
        <v>-10901.09</v>
      </c>
      <c r="E126" s="14">
        <v>2726.1689999999999</v>
      </c>
      <c r="F126" s="14">
        <v>3.6484519999999998</v>
      </c>
      <c r="G126" s="14">
        <v>10.66644</v>
      </c>
      <c r="H126" s="14">
        <v>14.017160000000001</v>
      </c>
      <c r="I126" s="14">
        <v>0.6820176</v>
      </c>
      <c r="J126" s="15" t="s">
        <v>25</v>
      </c>
      <c r="K126" s="15" t="s">
        <v>26</v>
      </c>
      <c r="L126" s="15" t="s">
        <v>25</v>
      </c>
      <c r="M126" s="15" t="s">
        <v>37</v>
      </c>
    </row>
    <row r="127" spans="1:13" x14ac:dyDescent="0.25">
      <c r="A127" s="14">
        <v>47</v>
      </c>
      <c r="B127" s="14">
        <v>23</v>
      </c>
      <c r="C127" s="14" t="s">
        <v>31</v>
      </c>
      <c r="D127" s="14">
        <v>-10946.81</v>
      </c>
      <c r="E127" s="14">
        <v>2759.2579999999998</v>
      </c>
      <c r="F127" s="14">
        <v>4.3782129999999997</v>
      </c>
      <c r="G127" s="14">
        <v>14.7637</v>
      </c>
      <c r="H127" s="14">
        <v>15.273529999999999</v>
      </c>
      <c r="I127" s="14">
        <v>0.79508319999999999</v>
      </c>
      <c r="J127" s="15" t="s">
        <v>25</v>
      </c>
      <c r="K127" s="15" t="s">
        <v>27</v>
      </c>
      <c r="L127" s="15" t="s">
        <v>25</v>
      </c>
      <c r="M127" s="15" t="s">
        <v>39</v>
      </c>
    </row>
    <row r="128" spans="1:13" x14ac:dyDescent="0.25">
      <c r="A128" s="14">
        <v>56</v>
      </c>
      <c r="B128" s="14">
        <v>7</v>
      </c>
      <c r="C128" s="14">
        <v>3</v>
      </c>
      <c r="D128" s="14">
        <v>-10825.32</v>
      </c>
      <c r="E128" s="14">
        <v>2672.6770000000001</v>
      </c>
      <c r="F128" s="14">
        <v>5.5637230000000004</v>
      </c>
      <c r="G128" s="14">
        <v>22.484169999999999</v>
      </c>
      <c r="H128" s="14">
        <v>18.890229999999999</v>
      </c>
      <c r="I128" s="14">
        <v>0.79158740000000005</v>
      </c>
      <c r="J128" s="15" t="s">
        <v>25</v>
      </c>
      <c r="K128" s="15" t="s">
        <v>25</v>
      </c>
      <c r="L128" s="15" t="s">
        <v>25</v>
      </c>
      <c r="M128" s="15" t="s">
        <v>33</v>
      </c>
    </row>
    <row r="129" spans="1:13" ht="45" x14ac:dyDescent="0.25">
      <c r="A129" s="14">
        <v>136</v>
      </c>
      <c r="B129" s="14">
        <v>6</v>
      </c>
      <c r="C129" s="14">
        <v>5</v>
      </c>
      <c r="D129" s="14">
        <v>-11404.3</v>
      </c>
      <c r="E129" s="14">
        <v>-2245.107</v>
      </c>
      <c r="F129" s="14">
        <v>2.0172599999999998</v>
      </c>
      <c r="G129" s="14">
        <v>3.1829999999999998</v>
      </c>
      <c r="H129" s="14">
        <v>7.0624700000000002</v>
      </c>
      <c r="I129" s="14">
        <v>0.80171440000000005</v>
      </c>
      <c r="J129" s="15" t="s">
        <v>25</v>
      </c>
      <c r="K129" s="15" t="s">
        <v>26</v>
      </c>
      <c r="L129" s="15" t="s">
        <v>25</v>
      </c>
      <c r="M129" s="15" t="s">
        <v>40</v>
      </c>
    </row>
    <row r="130" spans="1:13" ht="30" x14ac:dyDescent="0.25">
      <c r="A130" s="14">
        <v>142</v>
      </c>
      <c r="B130" s="14">
        <v>12</v>
      </c>
      <c r="C130" s="14">
        <v>5</v>
      </c>
      <c r="D130" s="14">
        <v>-11447.08</v>
      </c>
      <c r="E130" s="14">
        <v>-2238.73</v>
      </c>
      <c r="F130" s="14">
        <v>3.022694</v>
      </c>
      <c r="G130" s="14">
        <v>7.1702149999999998</v>
      </c>
      <c r="H130" s="14">
        <v>10.432040000000001</v>
      </c>
      <c r="I130" s="14">
        <v>0.82773319999999995</v>
      </c>
      <c r="J130" s="15" t="s">
        <v>25</v>
      </c>
      <c r="K130" s="15" t="s">
        <v>26</v>
      </c>
      <c r="L130" s="15" t="s">
        <v>25</v>
      </c>
      <c r="M130" s="15" t="s">
        <v>41</v>
      </c>
    </row>
    <row r="131" spans="1:13" ht="30" x14ac:dyDescent="0.25">
      <c r="A131" s="14">
        <v>150</v>
      </c>
      <c r="B131" s="14">
        <v>20</v>
      </c>
      <c r="C131" s="14">
        <v>5</v>
      </c>
      <c r="D131" s="14">
        <v>-11392.55</v>
      </c>
      <c r="E131" s="14">
        <v>-2219.52</v>
      </c>
      <c r="F131" s="14">
        <v>5.024044</v>
      </c>
      <c r="G131" s="14">
        <v>20.113849999999999</v>
      </c>
      <c r="H131" s="14">
        <v>18.154260000000001</v>
      </c>
      <c r="I131" s="14">
        <v>0.76671590000000001</v>
      </c>
      <c r="J131" s="15" t="s">
        <v>25</v>
      </c>
      <c r="K131" s="15" t="s">
        <v>26</v>
      </c>
      <c r="L131" s="15" t="s">
        <v>25</v>
      </c>
      <c r="M131" s="15" t="s">
        <v>37</v>
      </c>
    </row>
    <row r="132" spans="1:13" ht="30" x14ac:dyDescent="0.25">
      <c r="A132" s="14">
        <v>157</v>
      </c>
      <c r="B132" s="14">
        <v>27</v>
      </c>
      <c r="C132" s="14">
        <v>5</v>
      </c>
      <c r="D132" s="14">
        <v>-11453.79</v>
      </c>
      <c r="E132" s="14">
        <v>-2213.6239999999998</v>
      </c>
      <c r="F132" s="14">
        <v>5.9249470000000004</v>
      </c>
      <c r="G132" s="14">
        <v>26.95391</v>
      </c>
      <c r="H132" s="14">
        <v>21.40297</v>
      </c>
      <c r="I132" s="14">
        <v>0.73921380000000003</v>
      </c>
      <c r="J132" s="15" t="s">
        <v>25</v>
      </c>
      <c r="K132" s="15" t="s">
        <v>26</v>
      </c>
      <c r="L132" s="15" t="s">
        <v>25</v>
      </c>
      <c r="M132" s="15" t="s">
        <v>37</v>
      </c>
    </row>
    <row r="133" spans="1:13" x14ac:dyDescent="0.25">
      <c r="A133" s="14">
        <v>158</v>
      </c>
      <c r="B133" s="14">
        <v>28</v>
      </c>
      <c r="C133" s="14">
        <v>5</v>
      </c>
      <c r="D133" s="14">
        <v>-11401.09</v>
      </c>
      <c r="E133" s="14">
        <v>-2211.1849999999999</v>
      </c>
      <c r="F133" s="14">
        <v>5.2059870000000004</v>
      </c>
      <c r="G133" s="14">
        <v>20.901129999999998</v>
      </c>
      <c r="H133" s="14">
        <v>18.598459999999999</v>
      </c>
      <c r="I133" s="14">
        <v>0.75912360000000001</v>
      </c>
      <c r="J133" s="15" t="s">
        <v>25</v>
      </c>
      <c r="K133" s="15" t="s">
        <v>13</v>
      </c>
      <c r="L133" s="15" t="s">
        <v>25</v>
      </c>
      <c r="M133" s="15" t="s">
        <v>35</v>
      </c>
    </row>
    <row r="134" spans="1:13" x14ac:dyDescent="0.25">
      <c r="A134" s="14">
        <v>159</v>
      </c>
      <c r="B134" s="14">
        <v>29</v>
      </c>
      <c r="C134" s="14">
        <v>5</v>
      </c>
      <c r="D134" s="14">
        <v>-11433.61</v>
      </c>
      <c r="E134" s="14">
        <v>-2208.1970000000001</v>
      </c>
      <c r="F134" s="14">
        <v>4.5333949999999996</v>
      </c>
      <c r="G134" s="14">
        <v>15.6441</v>
      </c>
      <c r="H134" s="14">
        <v>15.7493</v>
      </c>
      <c r="I134" s="14">
        <v>0.79236419999999996</v>
      </c>
      <c r="J134" s="15" t="s">
        <v>25</v>
      </c>
      <c r="K134" s="15" t="s">
        <v>25</v>
      </c>
      <c r="L134" s="15" t="s">
        <v>25</v>
      </c>
      <c r="M134" s="15" t="s">
        <v>34</v>
      </c>
    </row>
    <row r="135" spans="1:13" x14ac:dyDescent="0.25">
      <c r="A135" s="14">
        <v>165</v>
      </c>
      <c r="B135" s="14">
        <v>35</v>
      </c>
      <c r="C135" s="14">
        <v>5</v>
      </c>
      <c r="D135" s="14">
        <v>-11447.54</v>
      </c>
      <c r="E135" s="14">
        <v>-2194.0149999999999</v>
      </c>
      <c r="F135" s="14">
        <v>4.2378109999999998</v>
      </c>
      <c r="G135" s="14">
        <v>14.09493</v>
      </c>
      <c r="H135" s="14">
        <v>15.13419</v>
      </c>
      <c r="I135" s="14">
        <v>0.77310990000000002</v>
      </c>
      <c r="J135" s="15" t="s">
        <v>25</v>
      </c>
      <c r="K135" s="15" t="s">
        <v>25</v>
      </c>
      <c r="L135" s="15" t="s">
        <v>25</v>
      </c>
      <c r="M135" s="15" t="s">
        <v>36</v>
      </c>
    </row>
    <row r="136" spans="1:13" x14ac:dyDescent="0.25">
      <c r="A136" s="14">
        <v>185</v>
      </c>
      <c r="B136" s="14">
        <v>55</v>
      </c>
      <c r="C136" s="14">
        <v>5</v>
      </c>
      <c r="D136" s="14">
        <v>-11382.48</v>
      </c>
      <c r="E136" s="14">
        <v>-2139.7159999999999</v>
      </c>
      <c r="F136" s="14">
        <v>4.1534769999999996</v>
      </c>
      <c r="G136" s="14">
        <v>11.39446</v>
      </c>
      <c r="H136" s="14">
        <v>16.080290000000002</v>
      </c>
      <c r="I136" s="14">
        <v>0.55360779999999998</v>
      </c>
      <c r="J136" s="15" t="s">
        <v>25</v>
      </c>
      <c r="K136" s="15" t="s">
        <v>26</v>
      </c>
      <c r="L136" s="15" t="s">
        <v>25</v>
      </c>
      <c r="M136" s="15" t="s">
        <v>34</v>
      </c>
    </row>
    <row r="137" spans="1:13" x14ac:dyDescent="0.25">
      <c r="A137" s="14">
        <v>186</v>
      </c>
      <c r="B137" s="14">
        <v>1</v>
      </c>
      <c r="C137" s="14">
        <v>6</v>
      </c>
      <c r="D137" s="14">
        <v>-11287.67</v>
      </c>
      <c r="E137" s="14">
        <v>-2277.56</v>
      </c>
      <c r="F137" s="14">
        <v>0.80385490000000004</v>
      </c>
      <c r="G137" s="14">
        <v>0.2624282</v>
      </c>
      <c r="H137" s="14">
        <v>3.1540059999999999</v>
      </c>
      <c r="I137" s="14">
        <v>0.3314223</v>
      </c>
      <c r="J137" s="15" t="s">
        <v>25</v>
      </c>
      <c r="K137" s="15" t="s">
        <v>25</v>
      </c>
      <c r="L137" s="15" t="s">
        <v>25</v>
      </c>
      <c r="M137" s="15" t="s">
        <v>28</v>
      </c>
    </row>
    <row r="138" spans="1:13" x14ac:dyDescent="0.25">
      <c r="A138" s="14">
        <v>204</v>
      </c>
      <c r="B138" s="14">
        <v>19</v>
      </c>
      <c r="C138" s="14">
        <v>6</v>
      </c>
      <c r="D138" s="14">
        <v>-11323.12</v>
      </c>
      <c r="E138" s="14">
        <v>-2252.2069999999999</v>
      </c>
      <c r="F138" s="14">
        <v>3.2531379999999999</v>
      </c>
      <c r="G138" s="14">
        <v>8.1098769999999991</v>
      </c>
      <c r="H138" s="14">
        <v>10.93937</v>
      </c>
      <c r="I138" s="14">
        <v>0.85138559999999996</v>
      </c>
      <c r="J138" s="15" t="s">
        <v>25</v>
      </c>
      <c r="K138" s="15" t="s">
        <v>25</v>
      </c>
      <c r="L138" s="15" t="s">
        <v>25</v>
      </c>
      <c r="M138" s="15" t="s">
        <v>38</v>
      </c>
    </row>
    <row r="139" spans="1:13" ht="30" x14ac:dyDescent="0.25">
      <c r="A139" s="14">
        <v>227</v>
      </c>
      <c r="B139" s="14">
        <v>42</v>
      </c>
      <c r="C139" s="14">
        <v>6</v>
      </c>
      <c r="D139" s="14">
        <v>-11208.33</v>
      </c>
      <c r="E139" s="14">
        <v>-2216.9009999999998</v>
      </c>
      <c r="F139" s="14">
        <v>3.2814890000000001</v>
      </c>
      <c r="G139" s="14">
        <v>8.3638399999999997</v>
      </c>
      <c r="H139" s="14">
        <v>11.244210000000001</v>
      </c>
      <c r="I139" s="14">
        <v>0.83108199999999999</v>
      </c>
      <c r="J139" s="15" t="s">
        <v>25</v>
      </c>
      <c r="K139" s="15" t="s">
        <v>26</v>
      </c>
      <c r="L139" s="15" t="s">
        <v>25</v>
      </c>
      <c r="M139" s="15" t="s">
        <v>42</v>
      </c>
    </row>
    <row r="306" spans="14:14" x14ac:dyDescent="0.25">
      <c r="N306" t="s">
        <v>50</v>
      </c>
    </row>
    <row r="575" spans="1:1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92" spans="1:1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610" spans="1:1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</sheetData>
  <mergeCells count="4">
    <mergeCell ref="P8:Q9"/>
    <mergeCell ref="R8:R9"/>
    <mergeCell ref="S8:S9"/>
    <mergeCell ref="T8:T9"/>
  </mergeCells>
  <conditionalFormatting sqref="A1:XFD1 A140:XFD1048576 N2:XFD139">
    <cfRule type="expression" dxfId="3" priority="4">
      <formula>OR(CELL(“col”)=COLUMN(),CELL(“row”)=ROW())</formula>
    </cfRule>
  </conditionalFormatting>
  <conditionalFormatting sqref="A2:M76">
    <cfRule type="expression" dxfId="2" priority="3">
      <formula>OR(CELL(“col”)=COLUMN(),CELL(“row”)=ROW())</formula>
    </cfRule>
  </conditionalFormatting>
  <conditionalFormatting sqref="A77:M77 A78:I100 D101:I105 F106:I107 A101:C107 A108:I109 D110:I120 F121:I121 D122:I124 A110:C124 J78:M124">
    <cfRule type="expression" dxfId="1" priority="2">
      <formula>OR(CELL(“col”)=COLUMN(),CELL(“row”)=ROW())</formula>
    </cfRule>
  </conditionalFormatting>
  <conditionalFormatting sqref="E125:I136 F137:I138 H139:I139 E137:E139 B125:D139 J125:M139">
    <cfRule type="expression" dxfId="0" priority="1">
      <formula>OR(CELL(“col”)=COLUMN(),CELL(“row”)=ROW())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MPs Only</vt:lpstr>
      <vt:lpstr>MPs + Standards</vt:lpstr>
      <vt:lpstr>MPs + Ambient</vt:lpstr>
      <vt:lpstr>All Samples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2024-03-20T19:48:42Z</dcterms:created>
  <dcterms:modified xsi:type="dcterms:W3CDTF">2024-12-06T22:07:19Z</dcterms:modified>
</cp:coreProperties>
</file>