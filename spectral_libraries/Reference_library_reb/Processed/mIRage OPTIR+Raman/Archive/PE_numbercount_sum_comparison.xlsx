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OPS\Processed data\"/>
    </mc:Choice>
  </mc:AlternateContent>
  <xr:revisionPtr revIDLastSave="0" documentId="13_ncr:1_{DAE2D51E-7773-4B4B-8251-0FDE9BD94A4D}" xr6:coauthVersionLast="47" xr6:coauthVersionMax="47" xr10:uidLastSave="{00000000-0000-0000-0000-000000000000}"/>
  <bookViews>
    <workbookView xWindow="-120" yWindow="-120" windowWidth="29040" windowHeight="15840" xr2:uid="{537D51BF-4DCF-4587-AD02-5ACC09F9E4DA}"/>
  </bookViews>
  <sheets>
    <sheet name="Avg Sums" sheetId="1" r:id="rId1"/>
    <sheet name="20-80 PE" sheetId="2" r:id="rId2"/>
    <sheet name="50-50 PE" sheetId="3" r:id="rId3"/>
    <sheet name="100-0 PE" sheetId="4" r:id="rId4"/>
    <sheet name="AF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C2" i="1"/>
  <c r="B5" i="1"/>
  <c r="B4" i="1"/>
  <c r="B3" i="1"/>
  <c r="B2" i="1"/>
  <c r="O21" i="5"/>
  <c r="N21" i="5"/>
  <c r="M21" i="5"/>
  <c r="L21" i="5"/>
  <c r="K21" i="5"/>
  <c r="J21" i="5"/>
  <c r="I21" i="5"/>
  <c r="H21" i="5"/>
  <c r="G21" i="5"/>
  <c r="G21" i="4"/>
  <c r="P21" i="4"/>
  <c r="O21" i="4"/>
  <c r="N21" i="4"/>
  <c r="M21" i="4"/>
  <c r="L21" i="4"/>
  <c r="K21" i="4"/>
  <c r="J21" i="4"/>
  <c r="I21" i="4"/>
  <c r="H21" i="4"/>
  <c r="P21" i="3"/>
  <c r="O21" i="3"/>
  <c r="N21" i="3"/>
  <c r="M21" i="3"/>
  <c r="L21" i="3"/>
  <c r="K21" i="3"/>
  <c r="J21" i="3"/>
  <c r="I21" i="3"/>
  <c r="H21" i="3"/>
  <c r="G21" i="3"/>
  <c r="H21" i="2"/>
  <c r="I21" i="2"/>
  <c r="J21" i="2"/>
  <c r="K21" i="2"/>
  <c r="L21" i="2"/>
  <c r="M21" i="2"/>
  <c r="N21" i="2"/>
  <c r="O21" i="2"/>
  <c r="P21" i="2"/>
  <c r="G21" i="2"/>
</calcChain>
</file>

<file path=xl/sharedStrings.xml><?xml version="1.0" encoding="utf-8"?>
<sst xmlns="http://schemas.openxmlformats.org/spreadsheetml/2006/main" count="79" uniqueCount="19">
  <si>
    <t>PE in 20/80 EtOH/MQ</t>
  </si>
  <si>
    <t>LB</t>
  </si>
  <si>
    <t>UB</t>
  </si>
  <si>
    <t>LB with RI</t>
  </si>
  <si>
    <t>UB with RI</t>
  </si>
  <si>
    <t>MPDiam</t>
  </si>
  <si>
    <t>Data</t>
  </si>
  <si>
    <t>PE in 50/50 EtOH/MQ</t>
  </si>
  <si>
    <t>PE in 100/0 EtOH/MQ</t>
  </si>
  <si>
    <t>Sample</t>
  </si>
  <si>
    <t>PE 20/80 EtOH/MQ</t>
  </si>
  <si>
    <t>PE 50/50 EtOH/MQ</t>
  </si>
  <si>
    <t>PE 100/0 EtOH/MQ</t>
  </si>
  <si>
    <t>AFR</t>
  </si>
  <si>
    <t>1-5 um amino formaldehyde (aka fluorescent red)</t>
  </si>
  <si>
    <t>*Note: All of the PE suspensions had 11 samples, so only the last 10 were used. The AFR sample only had 10 samples, so only the last 9 were used.</t>
  </si>
  <si>
    <t>sum of bins &gt;1.117 um</t>
  </si>
  <si>
    <t>Avg total number concentration &gt; 1.117 um (#/cm^3)</t>
  </si>
  <si>
    <t>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</si>
</sst>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F99A-C7A2-43EA-A141-A490C07CEF3C}">
  <dimension ref="A1:M5"/>
  <sheetViews>
    <sheetView tabSelected="1" workbookViewId="0">
      <selection activeCell="C1" sqref="C1:C5"/>
    </sheetView>
  </sheetViews>
  <sheetFormatPr defaultRowHeight="15" x14ac:dyDescent="0.25"/>
  <cols>
    <col min="1" max="1" width="17.5703125" bestFit="1" customWidth="1"/>
    <col min="3" max="3" width="12" bestFit="1" customWidth="1"/>
    <col min="5" max="5" width="20.5703125" customWidth="1"/>
  </cols>
  <sheetData>
    <row r="1" spans="1:13" x14ac:dyDescent="0.25">
      <c r="A1" t="s">
        <v>9</v>
      </c>
      <c r="B1" t="s">
        <v>17</v>
      </c>
      <c r="C1" t="s">
        <v>18</v>
      </c>
      <c r="F1" s="1" t="s">
        <v>15</v>
      </c>
      <c r="G1" s="1"/>
      <c r="H1" s="1"/>
      <c r="I1" s="1"/>
      <c r="J1" s="1"/>
      <c r="K1" s="1"/>
      <c r="L1" s="1"/>
      <c r="M1" s="1"/>
    </row>
    <row r="2" spans="1:13" x14ac:dyDescent="0.25">
      <c r="A2" t="s">
        <v>10</v>
      </c>
      <c r="B2">
        <f>AVERAGE('20-80 PE'!G21:P21)</f>
        <v>3.5617931700000005</v>
      </c>
      <c r="C2">
        <f>_xlfn.STDEV.S('20-80 PE'!G21:P21)/SQRT(10)</f>
        <v>0.17427194086226036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t="s">
        <v>11</v>
      </c>
      <c r="B3">
        <f>AVERAGE('50-50 PE'!G21:P21)</f>
        <v>49.26237253</v>
      </c>
      <c r="C3">
        <f>_xlfn.STDEV.S('50-50 PE'!G21:P21)/SQRT(10)</f>
        <v>0.26120707007847821</v>
      </c>
    </row>
    <row r="4" spans="1:13" x14ac:dyDescent="0.25">
      <c r="A4" t="s">
        <v>12</v>
      </c>
      <c r="B4">
        <f>AVERAGE('100-0 PE'!G21:P21)</f>
        <v>67.293761410000002</v>
      </c>
      <c r="C4">
        <f>_xlfn.STDEV.S('100-0 PE'!G21:P21)/SQRT(10)</f>
        <v>3.2385062745026887</v>
      </c>
    </row>
    <row r="5" spans="1:13" x14ac:dyDescent="0.25">
      <c r="A5" t="s">
        <v>13</v>
      </c>
      <c r="B5">
        <f>AVERAGE(AFR!G21:O21)</f>
        <v>53.307034611111106</v>
      </c>
      <c r="C5">
        <f>_xlfn.STDEV.S(AFR!G21:O21)/SQRT(9)</f>
        <v>1.1580997446288932</v>
      </c>
    </row>
  </sheetData>
  <mergeCells count="1">
    <mergeCell ref="F1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7CF4-B035-47F3-969F-48A32B241CBA}">
  <dimension ref="A1:P21"/>
  <sheetViews>
    <sheetView topLeftCell="A7" workbookViewId="0">
      <selection activeCell="F22" sqref="F22"/>
    </sheetView>
  </sheetViews>
  <sheetFormatPr defaultRowHeight="15" x14ac:dyDescent="0.25"/>
  <cols>
    <col min="6" max="6" width="11.85546875" customWidth="1"/>
  </cols>
  <sheetData>
    <row r="1" spans="1:16" x14ac:dyDescent="0.25">
      <c r="A1" t="s">
        <v>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</row>
    <row r="4" spans="1:16" x14ac:dyDescent="0.25">
      <c r="A4">
        <v>0.3</v>
      </c>
      <c r="B4">
        <v>0.374</v>
      </c>
      <c r="C4">
        <v>0.3</v>
      </c>
      <c r="D4">
        <v>0.374</v>
      </c>
      <c r="E4">
        <v>0.33700000000000002</v>
      </c>
      <c r="F4">
        <v>6.9986600000000001</v>
      </c>
      <c r="G4">
        <v>5.4421900000000001</v>
      </c>
      <c r="H4">
        <v>7.0616700000000003</v>
      </c>
      <c r="I4">
        <v>7.5945499999999999</v>
      </c>
      <c r="J4">
        <v>8.5036299999999994</v>
      </c>
      <c r="K4">
        <v>9.6634600000000006</v>
      </c>
      <c r="L4">
        <v>8.7020199999999992</v>
      </c>
      <c r="M4">
        <v>8.37791</v>
      </c>
      <c r="N4">
        <v>8.4300599999999992</v>
      </c>
      <c r="O4">
        <v>8.7434200000000004</v>
      </c>
      <c r="P4">
        <v>6.42401</v>
      </c>
    </row>
    <row r="5" spans="1:16" x14ac:dyDescent="0.25">
      <c r="A5">
        <v>0.374</v>
      </c>
      <c r="B5">
        <v>0.46500000000000002</v>
      </c>
      <c r="C5">
        <v>0.374</v>
      </c>
      <c r="D5">
        <v>0.46500000000000002</v>
      </c>
      <c r="E5">
        <v>0.41949999999999998</v>
      </c>
      <c r="F5">
        <v>3.8281000000000001</v>
      </c>
      <c r="G5">
        <v>3.6694399999999998</v>
      </c>
      <c r="H5">
        <v>5.0444500000000003</v>
      </c>
      <c r="I5">
        <v>5.7530900000000003</v>
      </c>
      <c r="J5">
        <v>6.1445600000000002</v>
      </c>
      <c r="K5">
        <v>7.1811800000000003</v>
      </c>
      <c r="L5">
        <v>6.0281599999999997</v>
      </c>
      <c r="M5">
        <v>5.1184900000000004</v>
      </c>
      <c r="N5">
        <v>5.7106500000000002</v>
      </c>
      <c r="O5">
        <v>5.15015</v>
      </c>
      <c r="P5">
        <v>3.69055</v>
      </c>
    </row>
    <row r="6" spans="1:16" x14ac:dyDescent="0.25">
      <c r="A6">
        <v>0.46500000000000002</v>
      </c>
      <c r="B6">
        <v>0.57899999999999996</v>
      </c>
      <c r="C6">
        <v>0.46500000000000002</v>
      </c>
      <c r="D6">
        <v>0.57899999999999996</v>
      </c>
      <c r="E6">
        <v>0.52200000000000002</v>
      </c>
      <c r="F6">
        <v>2.0691600000000001</v>
      </c>
      <c r="G6">
        <v>2.3107099999999998</v>
      </c>
      <c r="H6">
        <v>3.27719</v>
      </c>
      <c r="I6">
        <v>3.5398399999999999</v>
      </c>
      <c r="J6">
        <v>4.0651599999999997</v>
      </c>
      <c r="K6">
        <v>4.6219999999999999</v>
      </c>
      <c r="L6">
        <v>3.8025099999999998</v>
      </c>
      <c r="M6">
        <v>3.4452600000000002</v>
      </c>
      <c r="N6">
        <v>2.7309700000000001</v>
      </c>
      <c r="O6">
        <v>2.7309600000000001</v>
      </c>
      <c r="P6">
        <v>2.1846399999999999</v>
      </c>
    </row>
    <row r="7" spans="1:16" x14ac:dyDescent="0.25">
      <c r="A7">
        <v>0.57899999999999996</v>
      </c>
      <c r="B7">
        <v>0.72099999999999997</v>
      </c>
      <c r="C7">
        <v>0.57899999999999996</v>
      </c>
      <c r="D7">
        <v>0.72099999999999997</v>
      </c>
      <c r="E7">
        <v>0.65</v>
      </c>
      <c r="F7">
        <v>1.1654899999999999</v>
      </c>
      <c r="G7">
        <v>1.4489700000000001</v>
      </c>
      <c r="H7">
        <v>1.71156</v>
      </c>
      <c r="I7">
        <v>1.8270999999999999</v>
      </c>
      <c r="J7">
        <v>2.1526800000000001</v>
      </c>
      <c r="K7">
        <v>2.2262400000000002</v>
      </c>
      <c r="L7">
        <v>1.6696200000000001</v>
      </c>
      <c r="M7">
        <v>1.6695599999999999</v>
      </c>
      <c r="N7">
        <v>1.2390399999999999</v>
      </c>
      <c r="O7">
        <v>1.1865300000000001</v>
      </c>
      <c r="P7">
        <v>1.1024700000000001</v>
      </c>
    </row>
    <row r="8" spans="1:16" x14ac:dyDescent="0.25">
      <c r="A8">
        <v>0.72099999999999997</v>
      </c>
      <c r="B8">
        <v>0.89700000000000002</v>
      </c>
      <c r="C8">
        <v>0.72099999999999997</v>
      </c>
      <c r="D8">
        <v>0.89700000000000002</v>
      </c>
      <c r="E8">
        <v>0.80900000000000005</v>
      </c>
      <c r="F8">
        <v>0.76972099999999999</v>
      </c>
      <c r="G8">
        <v>0.674817</v>
      </c>
      <c r="H8">
        <v>1.1388199999999999</v>
      </c>
      <c r="I8">
        <v>1.0861099999999999</v>
      </c>
      <c r="J8">
        <v>1.1072299999999999</v>
      </c>
      <c r="K8">
        <v>1.1072599999999999</v>
      </c>
      <c r="L8">
        <v>1.1283099999999999</v>
      </c>
      <c r="M8">
        <v>0.71703499999999998</v>
      </c>
      <c r="N8">
        <v>0.68539399999999995</v>
      </c>
      <c r="O8">
        <v>0.71702600000000005</v>
      </c>
      <c r="P8">
        <v>0.53773899999999997</v>
      </c>
    </row>
    <row r="9" spans="1:16" x14ac:dyDescent="0.25">
      <c r="A9">
        <v>0.89700000000000002</v>
      </c>
      <c r="B9">
        <v>1.117</v>
      </c>
      <c r="C9">
        <v>0.89700000000000002</v>
      </c>
      <c r="D9">
        <v>1.117</v>
      </c>
      <c r="E9">
        <v>1.0069999999999999</v>
      </c>
      <c r="F9">
        <v>1.25993</v>
      </c>
      <c r="G9">
        <v>1.4069100000000001</v>
      </c>
      <c r="H9">
        <v>1.69049</v>
      </c>
      <c r="I9">
        <v>1.5645199999999999</v>
      </c>
      <c r="J9">
        <v>1.5330600000000001</v>
      </c>
      <c r="K9">
        <v>1.9321200000000001</v>
      </c>
      <c r="L9">
        <v>2.1210599999999999</v>
      </c>
      <c r="M9">
        <v>1.407</v>
      </c>
      <c r="N9">
        <v>1.5539799999999999</v>
      </c>
      <c r="O9">
        <v>1.33348</v>
      </c>
      <c r="P9">
        <v>0.986927</v>
      </c>
    </row>
    <row r="10" spans="1:16" x14ac:dyDescent="0.25">
      <c r="A10">
        <v>1.117</v>
      </c>
      <c r="B10">
        <v>1.391</v>
      </c>
      <c r="C10">
        <v>1.117</v>
      </c>
      <c r="D10">
        <v>1.391</v>
      </c>
      <c r="E10">
        <v>1.254</v>
      </c>
      <c r="F10">
        <v>0.34643400000000002</v>
      </c>
      <c r="G10">
        <v>0.35692800000000002</v>
      </c>
      <c r="H10">
        <v>0.45143499999999998</v>
      </c>
      <c r="I10">
        <v>0.47244000000000003</v>
      </c>
      <c r="J10">
        <v>0.598441</v>
      </c>
      <c r="K10">
        <v>0.50396300000000005</v>
      </c>
      <c r="L10">
        <v>0.51444299999999998</v>
      </c>
      <c r="M10">
        <v>0.41993999999999998</v>
      </c>
      <c r="N10">
        <v>0.46193000000000001</v>
      </c>
      <c r="O10">
        <v>0.493423</v>
      </c>
      <c r="P10">
        <v>0.26244400000000001</v>
      </c>
    </row>
    <row r="11" spans="1:16" x14ac:dyDescent="0.25">
      <c r="A11">
        <v>1.391</v>
      </c>
      <c r="B11">
        <v>1.732</v>
      </c>
      <c r="C11">
        <v>1.391</v>
      </c>
      <c r="D11">
        <v>1.732</v>
      </c>
      <c r="E11">
        <v>1.5615000000000001</v>
      </c>
      <c r="F11">
        <v>1.24996</v>
      </c>
      <c r="G11">
        <v>1.2604500000000001</v>
      </c>
      <c r="H11">
        <v>1.32355</v>
      </c>
      <c r="I11">
        <v>1.25004</v>
      </c>
      <c r="J11">
        <v>1.47068</v>
      </c>
      <c r="K11">
        <v>1.3446499999999999</v>
      </c>
      <c r="L11">
        <v>1.3446</v>
      </c>
      <c r="M11">
        <v>1.1554800000000001</v>
      </c>
      <c r="N11">
        <v>1.03992</v>
      </c>
      <c r="O11">
        <v>1.2079899999999999</v>
      </c>
      <c r="P11">
        <v>0.75626199999999999</v>
      </c>
    </row>
    <row r="12" spans="1:16" x14ac:dyDescent="0.25">
      <c r="A12">
        <v>1.732</v>
      </c>
      <c r="B12">
        <v>2.1560000000000001</v>
      </c>
      <c r="C12">
        <v>1.732</v>
      </c>
      <c r="D12">
        <v>2.1560000000000001</v>
      </c>
      <c r="E12">
        <v>1.944</v>
      </c>
      <c r="F12">
        <v>0.841368</v>
      </c>
      <c r="G12">
        <v>0.788775</v>
      </c>
      <c r="H12">
        <v>1.0307200000000001</v>
      </c>
      <c r="I12">
        <v>0.91504600000000003</v>
      </c>
      <c r="J12">
        <v>1.2201</v>
      </c>
      <c r="K12">
        <v>1.0939099999999999</v>
      </c>
      <c r="L12">
        <v>0.97816899999999996</v>
      </c>
      <c r="M12">
        <v>1.0412399999999999</v>
      </c>
      <c r="N12">
        <v>0.92554099999999995</v>
      </c>
      <c r="O12">
        <v>0.95709</v>
      </c>
      <c r="P12">
        <v>0.62049600000000005</v>
      </c>
    </row>
    <row r="13" spans="1:16" x14ac:dyDescent="0.25">
      <c r="A13">
        <v>2.1560000000000001</v>
      </c>
      <c r="B13">
        <v>2.6850000000000001</v>
      </c>
      <c r="C13">
        <v>2.1560000000000001</v>
      </c>
      <c r="D13">
        <v>2.6850000000000001</v>
      </c>
      <c r="E13">
        <v>2.4205000000000001</v>
      </c>
      <c r="F13">
        <v>0.48279899999999998</v>
      </c>
      <c r="G13">
        <v>0.37783899999999998</v>
      </c>
      <c r="H13">
        <v>0.46182899999999999</v>
      </c>
      <c r="I13">
        <v>0.36736999999999997</v>
      </c>
      <c r="J13">
        <v>0.43036000000000002</v>
      </c>
      <c r="K13">
        <v>0.62981100000000001</v>
      </c>
      <c r="L13">
        <v>0.61929100000000004</v>
      </c>
      <c r="M13">
        <v>0.53530299999999997</v>
      </c>
      <c r="N13">
        <v>0.39884900000000001</v>
      </c>
      <c r="O13">
        <v>0.38835199999999997</v>
      </c>
      <c r="P13">
        <v>0.40932000000000002</v>
      </c>
    </row>
    <row r="14" spans="1:16" x14ac:dyDescent="0.25">
      <c r="A14">
        <v>2.6850000000000001</v>
      </c>
      <c r="B14">
        <v>3.343</v>
      </c>
      <c r="C14">
        <v>2.6850000000000001</v>
      </c>
      <c r="D14">
        <v>3.343</v>
      </c>
      <c r="E14">
        <v>3.0139999999999998</v>
      </c>
      <c r="F14">
        <v>0.21014099999999999</v>
      </c>
      <c r="G14">
        <v>0.22064500000000001</v>
      </c>
      <c r="H14">
        <v>0.25218000000000002</v>
      </c>
      <c r="I14">
        <v>0.32573800000000003</v>
      </c>
      <c r="J14">
        <v>0.25219200000000003</v>
      </c>
      <c r="K14">
        <v>0.199657</v>
      </c>
      <c r="L14">
        <v>0.15761800000000001</v>
      </c>
      <c r="M14">
        <v>0.22065799999999999</v>
      </c>
      <c r="N14">
        <v>0.210149</v>
      </c>
      <c r="O14">
        <v>0.189133</v>
      </c>
      <c r="P14">
        <v>0.22064300000000001</v>
      </c>
    </row>
    <row r="15" spans="1:16" x14ac:dyDescent="0.25">
      <c r="A15">
        <v>3.343</v>
      </c>
      <c r="B15">
        <v>4.1619999999999999</v>
      </c>
      <c r="C15">
        <v>3.343</v>
      </c>
      <c r="D15">
        <v>4.1619999999999999</v>
      </c>
      <c r="E15">
        <v>3.7524999999999999</v>
      </c>
      <c r="F15">
        <v>0.168159</v>
      </c>
      <c r="G15">
        <v>0.115608</v>
      </c>
      <c r="H15">
        <v>0.12612499999999999</v>
      </c>
      <c r="I15">
        <v>0.220723</v>
      </c>
      <c r="J15">
        <v>0.189196</v>
      </c>
      <c r="K15">
        <v>0.13664499999999999</v>
      </c>
      <c r="L15">
        <v>0.12612899999999999</v>
      </c>
      <c r="M15">
        <v>0.105104</v>
      </c>
      <c r="N15">
        <v>0.105103</v>
      </c>
      <c r="O15">
        <v>0.147144</v>
      </c>
      <c r="P15">
        <v>2.1019400000000001E-2</v>
      </c>
    </row>
    <row r="16" spans="1:16" x14ac:dyDescent="0.25">
      <c r="A16">
        <v>4.1619999999999999</v>
      </c>
      <c r="B16">
        <v>5.1820000000000004</v>
      </c>
      <c r="C16">
        <v>4.1619999999999999</v>
      </c>
      <c r="D16">
        <v>5.1820000000000004</v>
      </c>
      <c r="E16">
        <v>4.6719999999999997</v>
      </c>
      <c r="F16">
        <v>0.16810700000000001</v>
      </c>
      <c r="G16">
        <v>6.3039399999999995E-2</v>
      </c>
      <c r="H16">
        <v>8.4057300000000001E-2</v>
      </c>
      <c r="I16">
        <v>6.3044000000000003E-2</v>
      </c>
      <c r="J16">
        <v>9.4568700000000006E-2</v>
      </c>
      <c r="K16">
        <v>6.3047400000000003E-2</v>
      </c>
      <c r="L16">
        <v>9.4567499999999999E-2</v>
      </c>
      <c r="M16">
        <v>8.4057400000000004E-2</v>
      </c>
      <c r="N16">
        <v>2.1014100000000001E-2</v>
      </c>
      <c r="O16">
        <v>4.2028200000000002E-2</v>
      </c>
      <c r="P16">
        <v>4.2025800000000002E-2</v>
      </c>
    </row>
    <row r="17" spans="1:16" x14ac:dyDescent="0.25">
      <c r="A17">
        <v>5.1820000000000004</v>
      </c>
      <c r="B17">
        <v>6.4509999999999996</v>
      </c>
      <c r="C17">
        <v>5.1820000000000004</v>
      </c>
      <c r="D17">
        <v>6.4509999999999996</v>
      </c>
      <c r="E17">
        <v>5.8164999999999996</v>
      </c>
      <c r="F17">
        <v>4.2055700000000001E-2</v>
      </c>
      <c r="G17">
        <v>1.05138E-2</v>
      </c>
      <c r="H17">
        <v>4.2057700000000003E-2</v>
      </c>
      <c r="I17">
        <v>5.2572899999999999E-2</v>
      </c>
      <c r="J17">
        <v>7.3604199999999995E-2</v>
      </c>
      <c r="K17">
        <v>7.3606000000000005E-2</v>
      </c>
      <c r="L17">
        <v>3.1544299999999997E-2</v>
      </c>
      <c r="M17">
        <v>4.2057700000000003E-2</v>
      </c>
      <c r="N17">
        <v>4.2057299999999999E-2</v>
      </c>
      <c r="O17">
        <v>2.1028600000000001E-2</v>
      </c>
      <c r="P17">
        <v>0</v>
      </c>
    </row>
    <row r="18" spans="1:16" x14ac:dyDescent="0.25">
      <c r="A18">
        <v>6.4509999999999996</v>
      </c>
      <c r="B18">
        <v>8.032</v>
      </c>
      <c r="C18">
        <v>6.4509999999999996</v>
      </c>
      <c r="D18">
        <v>8.032</v>
      </c>
      <c r="E18">
        <v>7.2415000000000003</v>
      </c>
      <c r="F18">
        <v>2.1013E-2</v>
      </c>
      <c r="G18">
        <v>0</v>
      </c>
      <c r="H18">
        <v>0</v>
      </c>
      <c r="I18">
        <v>1.05072E-2</v>
      </c>
      <c r="J18">
        <v>2.1014999999999999E-2</v>
      </c>
      <c r="K18">
        <v>1.05077E-2</v>
      </c>
      <c r="L18">
        <v>2.1014700000000001E-2</v>
      </c>
      <c r="M18">
        <v>3.1521100000000003E-2</v>
      </c>
      <c r="N18">
        <v>1.05069E-2</v>
      </c>
      <c r="O18">
        <v>0</v>
      </c>
      <c r="P18">
        <v>3.1518900000000002E-2</v>
      </c>
    </row>
    <row r="19" spans="1:16" x14ac:dyDescent="0.25">
      <c r="A19">
        <v>8.032</v>
      </c>
      <c r="B19">
        <v>10</v>
      </c>
      <c r="C19">
        <v>8.032</v>
      </c>
      <c r="D19">
        <v>10</v>
      </c>
      <c r="E19">
        <v>9.016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1.0509299999999999E-2</v>
      </c>
      <c r="N19">
        <v>1.05092E-2</v>
      </c>
      <c r="O19">
        <v>0</v>
      </c>
      <c r="P19">
        <v>0</v>
      </c>
    </row>
    <row r="21" spans="1:16" ht="30" x14ac:dyDescent="0.25">
      <c r="F21" s="2" t="s">
        <v>16</v>
      </c>
      <c r="G21">
        <f>SUM(G10:G19)</f>
        <v>3.1937981999999998</v>
      </c>
      <c r="H21">
        <f t="shared" ref="H21:P21" si="0">SUM(H10:H19)</f>
        <v>3.771954</v>
      </c>
      <c r="I21">
        <f t="shared" si="0"/>
        <v>3.6774811000000005</v>
      </c>
      <c r="J21">
        <f t="shared" si="0"/>
        <v>4.3501569</v>
      </c>
      <c r="K21">
        <f t="shared" si="0"/>
        <v>4.0557970999999995</v>
      </c>
      <c r="L21">
        <f t="shared" si="0"/>
        <v>3.8873765000000002</v>
      </c>
      <c r="M21">
        <f t="shared" si="0"/>
        <v>3.6458704999999991</v>
      </c>
      <c r="N21">
        <f t="shared" si="0"/>
        <v>3.2255795000000007</v>
      </c>
      <c r="O21">
        <f t="shared" si="0"/>
        <v>3.4461887999999994</v>
      </c>
      <c r="P21">
        <f t="shared" si="0"/>
        <v>2.3637291000000005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D8D6-94FC-4F0C-8827-89DB8194E54E}">
  <dimension ref="A1:P21"/>
  <sheetViews>
    <sheetView topLeftCell="A13" workbookViewId="0">
      <selection activeCell="A21" sqref="A21:XFD21"/>
    </sheetView>
  </sheetViews>
  <sheetFormatPr defaultRowHeight="15" x14ac:dyDescent="0.25"/>
  <sheetData>
    <row r="1" spans="1:16" x14ac:dyDescent="0.25">
      <c r="A1" t="s">
        <v>7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</row>
    <row r="4" spans="1:16" x14ac:dyDescent="0.25">
      <c r="A4">
        <v>0.3</v>
      </c>
      <c r="B4">
        <v>0.374</v>
      </c>
      <c r="C4">
        <v>0.3</v>
      </c>
      <c r="D4">
        <v>0.374</v>
      </c>
      <c r="E4">
        <v>0.33700000000000002</v>
      </c>
      <c r="F4">
        <v>12.0382</v>
      </c>
      <c r="G4">
        <v>12.1846</v>
      </c>
      <c r="H4">
        <v>12.8331</v>
      </c>
      <c r="I4">
        <v>12.990399999999999</v>
      </c>
      <c r="J4">
        <v>12.1638</v>
      </c>
      <c r="K4">
        <v>12.090400000000001</v>
      </c>
      <c r="L4">
        <v>11.8499</v>
      </c>
      <c r="M4">
        <v>11.7658</v>
      </c>
      <c r="N4">
        <v>11.358499999999999</v>
      </c>
      <c r="O4">
        <v>11.651899999999999</v>
      </c>
      <c r="P4">
        <v>11.599299999999999</v>
      </c>
    </row>
    <row r="5" spans="1:16" x14ac:dyDescent="0.25">
      <c r="A5">
        <v>0.374</v>
      </c>
      <c r="B5">
        <v>0.46500000000000002</v>
      </c>
      <c r="C5">
        <v>0.374</v>
      </c>
      <c r="D5">
        <v>0.46500000000000002</v>
      </c>
      <c r="E5">
        <v>0.41949999999999998</v>
      </c>
      <c r="F5">
        <v>12.727</v>
      </c>
      <c r="G5">
        <v>11.869300000000001</v>
      </c>
      <c r="H5">
        <v>12.367100000000001</v>
      </c>
      <c r="I5">
        <v>12.8545</v>
      </c>
      <c r="J5">
        <v>11.287100000000001</v>
      </c>
      <c r="K5">
        <v>12.239800000000001</v>
      </c>
      <c r="L5">
        <v>12.6952</v>
      </c>
      <c r="M5">
        <v>11.7948</v>
      </c>
      <c r="N5">
        <v>11.753</v>
      </c>
      <c r="O5">
        <v>12.6218</v>
      </c>
      <c r="P5">
        <v>12.229799999999999</v>
      </c>
    </row>
    <row r="6" spans="1:16" x14ac:dyDescent="0.25">
      <c r="A6">
        <v>0.46500000000000002</v>
      </c>
      <c r="B6">
        <v>0.57899999999999996</v>
      </c>
      <c r="C6">
        <v>0.46500000000000002</v>
      </c>
      <c r="D6">
        <v>0.57899999999999996</v>
      </c>
      <c r="E6">
        <v>0.52200000000000002</v>
      </c>
      <c r="F6">
        <v>11.9573</v>
      </c>
      <c r="G6">
        <v>12.398899999999999</v>
      </c>
      <c r="H6">
        <v>12.251799999999999</v>
      </c>
      <c r="I6">
        <v>11.652799999999999</v>
      </c>
      <c r="J6">
        <v>11.252800000000001</v>
      </c>
      <c r="K6">
        <v>11.967700000000001</v>
      </c>
      <c r="L6">
        <v>11.662800000000001</v>
      </c>
      <c r="M6">
        <v>11.5573</v>
      </c>
      <c r="N6">
        <v>11.683999999999999</v>
      </c>
      <c r="O6">
        <v>12.546900000000001</v>
      </c>
      <c r="P6">
        <v>12.6729</v>
      </c>
    </row>
    <row r="7" spans="1:16" x14ac:dyDescent="0.25">
      <c r="A7">
        <v>0.57899999999999996</v>
      </c>
      <c r="B7">
        <v>0.72099999999999997</v>
      </c>
      <c r="C7">
        <v>0.57899999999999996</v>
      </c>
      <c r="D7">
        <v>0.72099999999999997</v>
      </c>
      <c r="E7">
        <v>0.65</v>
      </c>
      <c r="F7">
        <v>13.667</v>
      </c>
      <c r="G7">
        <v>13.3726</v>
      </c>
      <c r="H7">
        <v>13.2781</v>
      </c>
      <c r="I7">
        <v>14.1091</v>
      </c>
      <c r="J7">
        <v>14.4451</v>
      </c>
      <c r="K7">
        <v>13.277900000000001</v>
      </c>
      <c r="L7">
        <v>13.856199999999999</v>
      </c>
      <c r="M7">
        <v>13.183</v>
      </c>
      <c r="N7">
        <v>13.761799999999999</v>
      </c>
      <c r="O7">
        <v>12.7005</v>
      </c>
      <c r="P7">
        <v>14.088100000000001</v>
      </c>
    </row>
    <row r="8" spans="1:16" x14ac:dyDescent="0.25">
      <c r="A8">
        <v>0.72099999999999997</v>
      </c>
      <c r="B8">
        <v>0.89700000000000002</v>
      </c>
      <c r="C8">
        <v>0.72099999999999997</v>
      </c>
      <c r="D8">
        <v>0.89700000000000002</v>
      </c>
      <c r="E8">
        <v>0.80900000000000005</v>
      </c>
      <c r="F8">
        <v>11.824199999999999</v>
      </c>
      <c r="G8">
        <v>11.0852</v>
      </c>
      <c r="H8">
        <v>11.549799999999999</v>
      </c>
      <c r="I8">
        <v>12.088699999999999</v>
      </c>
      <c r="J8">
        <v>11.9933</v>
      </c>
      <c r="K8">
        <v>12.077500000000001</v>
      </c>
      <c r="L8">
        <v>11.665900000000001</v>
      </c>
      <c r="M8">
        <v>11.137600000000001</v>
      </c>
      <c r="N8">
        <v>11.8666</v>
      </c>
      <c r="O8">
        <v>12.542899999999999</v>
      </c>
      <c r="P8">
        <v>11.3813</v>
      </c>
    </row>
    <row r="9" spans="1:16" x14ac:dyDescent="0.25">
      <c r="A9">
        <v>0.89700000000000002</v>
      </c>
      <c r="B9">
        <v>1.117</v>
      </c>
      <c r="C9">
        <v>0.89700000000000002</v>
      </c>
      <c r="D9">
        <v>1.117</v>
      </c>
      <c r="E9">
        <v>1.0069999999999999</v>
      </c>
      <c r="F9">
        <v>17.009399999999999</v>
      </c>
      <c r="G9">
        <v>17.1145</v>
      </c>
      <c r="H9">
        <v>18.071400000000001</v>
      </c>
      <c r="I9">
        <v>18.229600000000001</v>
      </c>
      <c r="J9">
        <v>17.577300000000001</v>
      </c>
      <c r="K9">
        <v>18.144600000000001</v>
      </c>
      <c r="L9">
        <v>17.492999999999999</v>
      </c>
      <c r="M9">
        <v>17.860399999999998</v>
      </c>
      <c r="N9">
        <v>18.2712</v>
      </c>
      <c r="O9">
        <v>18.0197</v>
      </c>
      <c r="P9">
        <v>17.556799999999999</v>
      </c>
    </row>
    <row r="10" spans="1:16" x14ac:dyDescent="0.25">
      <c r="A10">
        <v>1.117</v>
      </c>
      <c r="B10">
        <v>1.391</v>
      </c>
      <c r="C10">
        <v>1.117</v>
      </c>
      <c r="D10">
        <v>1.391</v>
      </c>
      <c r="E10">
        <v>1.254</v>
      </c>
      <c r="F10">
        <v>5.8442100000000003</v>
      </c>
      <c r="G10">
        <v>5.9072699999999996</v>
      </c>
      <c r="H10">
        <v>5.8442600000000002</v>
      </c>
      <c r="I10">
        <v>5.9916099999999997</v>
      </c>
      <c r="J10">
        <v>6.2016499999999999</v>
      </c>
      <c r="K10">
        <v>5.4867900000000001</v>
      </c>
      <c r="L10">
        <v>6.1174999999999997</v>
      </c>
      <c r="M10">
        <v>5.8650399999999996</v>
      </c>
      <c r="N10">
        <v>6.0019600000000004</v>
      </c>
      <c r="O10">
        <v>5.5291899999999998</v>
      </c>
      <c r="P10">
        <v>6.0967099999999999</v>
      </c>
    </row>
    <row r="11" spans="1:16" x14ac:dyDescent="0.25">
      <c r="A11">
        <v>1.391</v>
      </c>
      <c r="B11">
        <v>1.732</v>
      </c>
      <c r="C11">
        <v>1.391</v>
      </c>
      <c r="D11">
        <v>1.732</v>
      </c>
      <c r="E11">
        <v>1.5615000000000001</v>
      </c>
      <c r="F11">
        <v>17.226900000000001</v>
      </c>
      <c r="G11">
        <v>17.815799999999999</v>
      </c>
      <c r="H11">
        <v>17.395299999999999</v>
      </c>
      <c r="I11">
        <v>18.279299999999999</v>
      </c>
      <c r="J11">
        <v>17.984300000000001</v>
      </c>
      <c r="K11">
        <v>17.489699999999999</v>
      </c>
      <c r="L11">
        <v>17.5214</v>
      </c>
      <c r="M11">
        <v>17.0581</v>
      </c>
      <c r="N11">
        <v>17.2166</v>
      </c>
      <c r="O11">
        <v>18.5321</v>
      </c>
      <c r="P11">
        <v>17.437899999999999</v>
      </c>
    </row>
    <row r="12" spans="1:16" x14ac:dyDescent="0.25">
      <c r="A12">
        <v>1.732</v>
      </c>
      <c r="B12">
        <v>2.1560000000000001</v>
      </c>
      <c r="C12">
        <v>1.732</v>
      </c>
      <c r="D12">
        <v>2.1560000000000001</v>
      </c>
      <c r="E12">
        <v>1.944</v>
      </c>
      <c r="F12">
        <v>11.8255</v>
      </c>
      <c r="G12">
        <v>11.7202</v>
      </c>
      <c r="H12">
        <v>11.5624</v>
      </c>
      <c r="I12">
        <v>11.204700000000001</v>
      </c>
      <c r="J12">
        <v>11.9625</v>
      </c>
      <c r="K12">
        <v>11.3832</v>
      </c>
      <c r="L12">
        <v>11.7729</v>
      </c>
      <c r="M12">
        <v>11.593500000000001</v>
      </c>
      <c r="N12">
        <v>11.920500000000001</v>
      </c>
      <c r="O12">
        <v>12.0684</v>
      </c>
      <c r="P12">
        <v>11.9839</v>
      </c>
    </row>
    <row r="13" spans="1:16" x14ac:dyDescent="0.25">
      <c r="A13">
        <v>2.1560000000000001</v>
      </c>
      <c r="B13">
        <v>2.6850000000000001</v>
      </c>
      <c r="C13">
        <v>2.1560000000000001</v>
      </c>
      <c r="D13">
        <v>2.6850000000000001</v>
      </c>
      <c r="E13">
        <v>2.4205000000000001</v>
      </c>
      <c r="F13">
        <v>6.6625800000000002</v>
      </c>
      <c r="G13">
        <v>6.7361300000000002</v>
      </c>
      <c r="H13">
        <v>6.3263400000000001</v>
      </c>
      <c r="I13">
        <v>6.7469099999999997</v>
      </c>
      <c r="J13">
        <v>6.6941699999999997</v>
      </c>
      <c r="K13">
        <v>6.4523400000000004</v>
      </c>
      <c r="L13">
        <v>6.4313799999999999</v>
      </c>
      <c r="M13">
        <v>6.5887900000000004</v>
      </c>
      <c r="N13">
        <v>6.85182</v>
      </c>
      <c r="O13">
        <v>6.65245</v>
      </c>
      <c r="P13">
        <v>6.0848199999999997</v>
      </c>
    </row>
    <row r="14" spans="1:16" x14ac:dyDescent="0.25">
      <c r="A14">
        <v>2.6850000000000001</v>
      </c>
      <c r="B14">
        <v>3.343</v>
      </c>
      <c r="C14">
        <v>2.6850000000000001</v>
      </c>
      <c r="D14">
        <v>3.343</v>
      </c>
      <c r="E14">
        <v>3.0139999999999998</v>
      </c>
      <c r="F14">
        <v>3.4927100000000002</v>
      </c>
      <c r="G14">
        <v>3.7557100000000001</v>
      </c>
      <c r="H14">
        <v>3.76627</v>
      </c>
      <c r="I14">
        <v>3.1351499999999999</v>
      </c>
      <c r="J14">
        <v>3.21922</v>
      </c>
      <c r="K14">
        <v>3.3348800000000001</v>
      </c>
      <c r="L14">
        <v>3.3980299999999999</v>
      </c>
      <c r="M14">
        <v>3.3873899999999999</v>
      </c>
      <c r="N14">
        <v>3.5769199999999999</v>
      </c>
      <c r="O14">
        <v>3.7559300000000002</v>
      </c>
      <c r="P14">
        <v>3.2298300000000002</v>
      </c>
    </row>
    <row r="15" spans="1:16" x14ac:dyDescent="0.25">
      <c r="A15">
        <v>3.343</v>
      </c>
      <c r="B15">
        <v>4.1619999999999999</v>
      </c>
      <c r="C15">
        <v>3.343</v>
      </c>
      <c r="D15">
        <v>4.1619999999999999</v>
      </c>
      <c r="E15">
        <v>3.7524999999999999</v>
      </c>
      <c r="F15">
        <v>1.99939</v>
      </c>
      <c r="G15">
        <v>2.2729900000000001</v>
      </c>
      <c r="H15">
        <v>2.0099300000000002</v>
      </c>
      <c r="I15">
        <v>2.15733</v>
      </c>
      <c r="J15">
        <v>1.97837</v>
      </c>
      <c r="K15">
        <v>2.18879</v>
      </c>
      <c r="L15">
        <v>2.1467200000000002</v>
      </c>
      <c r="M15">
        <v>1.9467099999999999</v>
      </c>
      <c r="N15">
        <v>1.9888999999999999</v>
      </c>
      <c r="O15">
        <v>2.2415500000000002</v>
      </c>
      <c r="P15">
        <v>2.1783700000000001</v>
      </c>
    </row>
    <row r="16" spans="1:16" x14ac:dyDescent="0.25">
      <c r="A16">
        <v>4.1619999999999999</v>
      </c>
      <c r="B16">
        <v>5.1820000000000004</v>
      </c>
      <c r="C16">
        <v>4.1619999999999999</v>
      </c>
      <c r="D16">
        <v>5.1820000000000004</v>
      </c>
      <c r="E16">
        <v>4.6719999999999997</v>
      </c>
      <c r="F16">
        <v>1.08355</v>
      </c>
      <c r="G16">
        <v>1.0204200000000001</v>
      </c>
      <c r="H16">
        <v>1.0099100000000001</v>
      </c>
      <c r="I16">
        <v>1.20983</v>
      </c>
      <c r="J16">
        <v>1.12564</v>
      </c>
      <c r="K16">
        <v>1.0204200000000001</v>
      </c>
      <c r="L16">
        <v>1.0730200000000001</v>
      </c>
      <c r="M16">
        <v>1.1887000000000001</v>
      </c>
      <c r="N16">
        <v>1.3044800000000001</v>
      </c>
      <c r="O16">
        <v>1.2098500000000001</v>
      </c>
      <c r="P16">
        <v>1.1467099999999999</v>
      </c>
    </row>
    <row r="17" spans="1:16" x14ac:dyDescent="0.25">
      <c r="A17">
        <v>5.1820000000000004</v>
      </c>
      <c r="B17">
        <v>6.4509999999999996</v>
      </c>
      <c r="C17">
        <v>5.1820000000000004</v>
      </c>
      <c r="D17">
        <v>6.4509999999999996</v>
      </c>
      <c r="E17">
        <v>5.8164999999999996</v>
      </c>
      <c r="F17">
        <v>0.431612</v>
      </c>
      <c r="G17">
        <v>0.37897599999999998</v>
      </c>
      <c r="H17">
        <v>0.51583299999999999</v>
      </c>
      <c r="I17">
        <v>0.515849</v>
      </c>
      <c r="J17">
        <v>0.50530699999999995</v>
      </c>
      <c r="K17">
        <v>0.442135</v>
      </c>
      <c r="L17">
        <v>0.442139</v>
      </c>
      <c r="M17">
        <v>0.47370400000000001</v>
      </c>
      <c r="N17">
        <v>0.44214500000000001</v>
      </c>
      <c r="O17">
        <v>0.56849700000000003</v>
      </c>
      <c r="P17">
        <v>0.52637599999999996</v>
      </c>
    </row>
    <row r="18" spans="1:16" x14ac:dyDescent="0.25">
      <c r="A18">
        <v>6.4509999999999996</v>
      </c>
      <c r="B18">
        <v>8.032</v>
      </c>
      <c r="C18">
        <v>6.4509999999999996</v>
      </c>
      <c r="D18">
        <v>8.032</v>
      </c>
      <c r="E18">
        <v>7.2415000000000003</v>
      </c>
      <c r="F18">
        <v>0.14727599999999999</v>
      </c>
      <c r="G18">
        <v>0.210394</v>
      </c>
      <c r="H18">
        <v>0.15779699999999999</v>
      </c>
      <c r="I18">
        <v>0.22092300000000001</v>
      </c>
      <c r="J18">
        <v>0.115718</v>
      </c>
      <c r="K18">
        <v>0.16831399999999999</v>
      </c>
      <c r="L18">
        <v>0.231433</v>
      </c>
      <c r="M18">
        <v>0.21038699999999999</v>
      </c>
      <c r="N18">
        <v>0.24195700000000001</v>
      </c>
      <c r="O18">
        <v>0.19988600000000001</v>
      </c>
      <c r="P18">
        <v>0.21040200000000001</v>
      </c>
    </row>
    <row r="19" spans="1:16" x14ac:dyDescent="0.25">
      <c r="A19">
        <v>8.032</v>
      </c>
      <c r="B19">
        <v>10</v>
      </c>
      <c r="C19">
        <v>8.032</v>
      </c>
      <c r="D19">
        <v>10</v>
      </c>
      <c r="E19">
        <v>9.016</v>
      </c>
      <c r="F19">
        <v>4.2087800000000002E-2</v>
      </c>
      <c r="G19">
        <v>2.1043900000000001E-2</v>
      </c>
      <c r="H19">
        <v>4.2088199999999999E-2</v>
      </c>
      <c r="I19">
        <v>5.2611900000000003E-2</v>
      </c>
      <c r="J19">
        <v>1.05221E-2</v>
      </c>
      <c r="K19">
        <v>5.2609299999999998E-2</v>
      </c>
      <c r="L19">
        <v>3.1565900000000001E-2</v>
      </c>
      <c r="M19">
        <v>2.1043200000000001E-2</v>
      </c>
      <c r="N19">
        <v>3.1566299999999999E-2</v>
      </c>
      <c r="O19">
        <v>6.3135399999999994E-2</v>
      </c>
      <c r="P19">
        <v>3.1567100000000001E-2</v>
      </c>
    </row>
    <row r="21" spans="1:16" ht="30" x14ac:dyDescent="0.25">
      <c r="F21" s="2" t="s">
        <v>16</v>
      </c>
      <c r="G21">
        <f>SUM(G10:G19)</f>
        <v>49.838933900000008</v>
      </c>
      <c r="H21">
        <f t="shared" ref="H21:P21" si="0">SUM(H10:H19)</f>
        <v>48.630128199999994</v>
      </c>
      <c r="I21">
        <f t="shared" si="0"/>
        <v>49.514213900000009</v>
      </c>
      <c r="J21">
        <f t="shared" si="0"/>
        <v>49.797397100000005</v>
      </c>
      <c r="K21">
        <f t="shared" si="0"/>
        <v>48.0191783</v>
      </c>
      <c r="L21">
        <f t="shared" si="0"/>
        <v>49.166087899999994</v>
      </c>
      <c r="M21">
        <f t="shared" si="0"/>
        <v>48.333364200000005</v>
      </c>
      <c r="N21">
        <f t="shared" si="0"/>
        <v>49.576848300000002</v>
      </c>
      <c r="O21">
        <f t="shared" si="0"/>
        <v>50.820988399999997</v>
      </c>
      <c r="P21">
        <f t="shared" si="0"/>
        <v>48.926585099999997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3053-6073-44D9-9038-2E45C296EC20}">
  <dimension ref="A1:P21"/>
  <sheetViews>
    <sheetView topLeftCell="A7" workbookViewId="0">
      <selection activeCell="A21" sqref="A21:XFD21"/>
    </sheetView>
  </sheetViews>
  <sheetFormatPr defaultRowHeight="15" x14ac:dyDescent="0.25"/>
  <sheetData>
    <row r="1" spans="1:16" x14ac:dyDescent="0.25">
      <c r="A1" t="s">
        <v>8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</row>
    <row r="4" spans="1:16" x14ac:dyDescent="0.25">
      <c r="A4">
        <v>0.3</v>
      </c>
      <c r="B4">
        <v>0.374</v>
      </c>
      <c r="C4">
        <v>0.3</v>
      </c>
      <c r="D4">
        <v>0.374</v>
      </c>
      <c r="E4">
        <v>0.33700000000000002</v>
      </c>
      <c r="F4">
        <v>0.127363</v>
      </c>
      <c r="G4">
        <v>0.106048</v>
      </c>
      <c r="H4">
        <v>0.212282</v>
      </c>
      <c r="I4">
        <v>0.16989899999999999</v>
      </c>
      <c r="J4">
        <v>0.212696</v>
      </c>
      <c r="K4">
        <v>0.106381</v>
      </c>
      <c r="L4">
        <v>0.26673999999999998</v>
      </c>
      <c r="M4">
        <v>0.27846599999999999</v>
      </c>
      <c r="N4">
        <v>0.461752</v>
      </c>
      <c r="O4">
        <v>0.43053900000000001</v>
      </c>
      <c r="P4">
        <v>0.64760300000000004</v>
      </c>
    </row>
    <row r="5" spans="1:16" x14ac:dyDescent="0.25">
      <c r="A5">
        <v>0.374</v>
      </c>
      <c r="B5">
        <v>0.46500000000000002</v>
      </c>
      <c r="C5">
        <v>0.374</v>
      </c>
      <c r="D5">
        <v>0.46500000000000002</v>
      </c>
      <c r="E5">
        <v>0.41949999999999998</v>
      </c>
      <c r="F5">
        <v>0.69841200000000003</v>
      </c>
      <c r="G5">
        <v>0.76224800000000004</v>
      </c>
      <c r="H5">
        <v>0.88111499999999998</v>
      </c>
      <c r="I5">
        <v>0.74174499999999999</v>
      </c>
      <c r="J5">
        <v>0.89359699999999997</v>
      </c>
      <c r="K5">
        <v>0.94772100000000004</v>
      </c>
      <c r="L5">
        <v>1.10175</v>
      </c>
      <c r="M5">
        <v>1.171</v>
      </c>
      <c r="N5">
        <v>1.38063</v>
      </c>
      <c r="O5">
        <v>1.8850899999999999</v>
      </c>
      <c r="P5">
        <v>2.21814</v>
      </c>
    </row>
    <row r="6" spans="1:16" x14ac:dyDescent="0.25">
      <c r="A6">
        <v>0.46500000000000002</v>
      </c>
      <c r="B6">
        <v>0.57899999999999996</v>
      </c>
      <c r="C6">
        <v>0.46500000000000002</v>
      </c>
      <c r="D6">
        <v>0.57899999999999996</v>
      </c>
      <c r="E6">
        <v>0.52200000000000002</v>
      </c>
      <c r="F6">
        <v>0.92847400000000002</v>
      </c>
      <c r="G6">
        <v>0.83173399999999997</v>
      </c>
      <c r="H6">
        <v>0.82179100000000005</v>
      </c>
      <c r="I6">
        <v>0.96094800000000002</v>
      </c>
      <c r="J6">
        <v>0.87685800000000003</v>
      </c>
      <c r="K6">
        <v>0.71667899999999995</v>
      </c>
      <c r="L6">
        <v>1.07284</v>
      </c>
      <c r="M6">
        <v>1.51847</v>
      </c>
      <c r="N6">
        <v>1.2417199999999999</v>
      </c>
      <c r="O6">
        <v>1.7316400000000001</v>
      </c>
      <c r="P6">
        <v>1.7473099999999999</v>
      </c>
    </row>
    <row r="7" spans="1:16" x14ac:dyDescent="0.25">
      <c r="A7">
        <v>0.57899999999999996</v>
      </c>
      <c r="B7">
        <v>0.72099999999999997</v>
      </c>
      <c r="C7">
        <v>0.57899999999999996</v>
      </c>
      <c r="D7">
        <v>0.72099999999999997</v>
      </c>
      <c r="E7">
        <v>0.65</v>
      </c>
      <c r="F7">
        <v>0.42674499999999999</v>
      </c>
      <c r="G7">
        <v>0.40507100000000001</v>
      </c>
      <c r="H7">
        <v>0.51211799999999996</v>
      </c>
      <c r="I7">
        <v>0.40560099999999999</v>
      </c>
      <c r="J7">
        <v>0.47035500000000002</v>
      </c>
      <c r="K7">
        <v>0.48119400000000001</v>
      </c>
      <c r="L7">
        <v>0.58987000000000001</v>
      </c>
      <c r="M7">
        <v>0.59211599999999998</v>
      </c>
      <c r="N7">
        <v>0.65843799999999997</v>
      </c>
      <c r="O7">
        <v>1.02783</v>
      </c>
      <c r="P7">
        <v>1.0089900000000001</v>
      </c>
    </row>
    <row r="8" spans="1:16" x14ac:dyDescent="0.25">
      <c r="A8">
        <v>0.72099999999999997</v>
      </c>
      <c r="B8">
        <v>0.89700000000000002</v>
      </c>
      <c r="C8">
        <v>0.72099999999999997</v>
      </c>
      <c r="D8">
        <v>0.89700000000000002</v>
      </c>
      <c r="E8">
        <v>0.80900000000000005</v>
      </c>
      <c r="F8">
        <v>1.29634</v>
      </c>
      <c r="G8">
        <v>1.6271100000000001</v>
      </c>
      <c r="H8">
        <v>1.78925</v>
      </c>
      <c r="I8">
        <v>1.8114600000000001</v>
      </c>
      <c r="J8">
        <v>1.51362</v>
      </c>
      <c r="K8">
        <v>1.56778</v>
      </c>
      <c r="L8">
        <v>1.9063000000000001</v>
      </c>
      <c r="M8">
        <v>2.3460100000000002</v>
      </c>
      <c r="N8">
        <v>2.2004199999999998</v>
      </c>
      <c r="O8">
        <v>2.5966900000000002</v>
      </c>
      <c r="P8">
        <v>2.8653900000000001</v>
      </c>
    </row>
    <row r="9" spans="1:16" x14ac:dyDescent="0.25">
      <c r="A9">
        <v>0.89700000000000002</v>
      </c>
      <c r="B9">
        <v>1.117</v>
      </c>
      <c r="C9">
        <v>0.89700000000000002</v>
      </c>
      <c r="D9">
        <v>1.117</v>
      </c>
      <c r="E9">
        <v>1.0069999999999999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>
        <v>1.117</v>
      </c>
      <c r="B10">
        <v>1.391</v>
      </c>
      <c r="C10">
        <v>1.117</v>
      </c>
      <c r="D10">
        <v>1.391</v>
      </c>
      <c r="E10">
        <v>1.254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>
        <v>1.391</v>
      </c>
      <c r="B11">
        <v>1.732</v>
      </c>
      <c r="C11">
        <v>1.391</v>
      </c>
      <c r="D11">
        <v>1.732</v>
      </c>
      <c r="E11">
        <v>1.5615000000000001</v>
      </c>
      <c r="F11">
        <v>0</v>
      </c>
      <c r="G11">
        <v>0</v>
      </c>
      <c r="H11">
        <v>1.0673200000000001E-2</v>
      </c>
      <c r="I11">
        <v>1.06777E-2</v>
      </c>
      <c r="J11">
        <v>0</v>
      </c>
      <c r="K11">
        <v>0</v>
      </c>
      <c r="L11">
        <v>3.2186899999999997E-2</v>
      </c>
      <c r="M11">
        <v>2.1539599999999999E-2</v>
      </c>
      <c r="N11">
        <v>0</v>
      </c>
      <c r="O11">
        <v>3.2469999999999999E-2</v>
      </c>
      <c r="P11">
        <v>8.6827299999999996E-2</v>
      </c>
    </row>
    <row r="12" spans="1:16" x14ac:dyDescent="0.25">
      <c r="A12">
        <v>1.732</v>
      </c>
      <c r="B12">
        <v>2.1560000000000001</v>
      </c>
      <c r="C12">
        <v>1.732</v>
      </c>
      <c r="D12">
        <v>2.1560000000000001</v>
      </c>
      <c r="E12">
        <v>1.944</v>
      </c>
      <c r="F12">
        <v>17.204599999999999</v>
      </c>
      <c r="G12">
        <v>15.738300000000001</v>
      </c>
      <c r="H12">
        <v>18.295500000000001</v>
      </c>
      <c r="I12">
        <v>17.394600000000001</v>
      </c>
      <c r="J12">
        <v>18.2561</v>
      </c>
      <c r="K12">
        <v>18.197500000000002</v>
      </c>
      <c r="L12">
        <v>20.625599999999999</v>
      </c>
      <c r="M12">
        <v>23.561699999999998</v>
      </c>
      <c r="N12">
        <v>25.613</v>
      </c>
      <c r="O12">
        <v>27.168299999999999</v>
      </c>
      <c r="P12">
        <v>31.688400000000001</v>
      </c>
    </row>
    <row r="13" spans="1:16" x14ac:dyDescent="0.25">
      <c r="A13">
        <v>2.1560000000000001</v>
      </c>
      <c r="B13">
        <v>2.6850000000000001</v>
      </c>
      <c r="C13">
        <v>2.1560000000000001</v>
      </c>
      <c r="D13">
        <v>2.6850000000000001</v>
      </c>
      <c r="E13">
        <v>2.4205000000000001</v>
      </c>
      <c r="F13">
        <v>18.971800000000002</v>
      </c>
      <c r="G13">
        <v>18.721599999999999</v>
      </c>
      <c r="H13">
        <v>19.1539</v>
      </c>
      <c r="I13">
        <v>19.172899999999998</v>
      </c>
      <c r="J13">
        <v>20.270499999999998</v>
      </c>
      <c r="K13">
        <v>20.201899999999998</v>
      </c>
      <c r="L13">
        <v>21.3339</v>
      </c>
      <c r="M13">
        <v>22.663399999999999</v>
      </c>
      <c r="N13">
        <v>22.453299999999999</v>
      </c>
      <c r="O13">
        <v>24.041399999999999</v>
      </c>
      <c r="P13">
        <v>26.222999999999999</v>
      </c>
    </row>
    <row r="14" spans="1:16" x14ac:dyDescent="0.25">
      <c r="A14">
        <v>2.6850000000000001</v>
      </c>
      <c r="B14">
        <v>3.343</v>
      </c>
      <c r="C14">
        <v>2.6850000000000001</v>
      </c>
      <c r="D14">
        <v>3.343</v>
      </c>
      <c r="E14">
        <v>3.0139999999999998</v>
      </c>
      <c r="F14">
        <v>9.9819399999999998</v>
      </c>
      <c r="G14">
        <v>10.571</v>
      </c>
      <c r="H14">
        <v>10.1212</v>
      </c>
      <c r="I14">
        <v>10.061500000000001</v>
      </c>
      <c r="J14">
        <v>10.953900000000001</v>
      </c>
      <c r="K14">
        <v>11.417400000000001</v>
      </c>
      <c r="L14">
        <v>11.655200000000001</v>
      </c>
      <c r="M14">
        <v>12.2705</v>
      </c>
      <c r="N14">
        <v>12.5296</v>
      </c>
      <c r="O14">
        <v>12.862</v>
      </c>
      <c r="P14">
        <v>13.5166</v>
      </c>
    </row>
    <row r="15" spans="1:16" x14ac:dyDescent="0.25">
      <c r="A15">
        <v>3.343</v>
      </c>
      <c r="B15">
        <v>4.1619999999999999</v>
      </c>
      <c r="C15">
        <v>3.343</v>
      </c>
      <c r="D15">
        <v>4.1619999999999999</v>
      </c>
      <c r="E15">
        <v>3.7524999999999999</v>
      </c>
      <c r="F15">
        <v>6.25779</v>
      </c>
      <c r="G15">
        <v>5.8151299999999999</v>
      </c>
      <c r="H15">
        <v>6.3541999999999996</v>
      </c>
      <c r="I15">
        <v>6.1005200000000004</v>
      </c>
      <c r="J15">
        <v>6.7838700000000003</v>
      </c>
      <c r="K15">
        <v>6.8073800000000002</v>
      </c>
      <c r="L15">
        <v>7.1496199999999996</v>
      </c>
      <c r="M15">
        <v>7.8880600000000003</v>
      </c>
      <c r="N15">
        <v>7.7359400000000003</v>
      </c>
      <c r="O15">
        <v>8.3171300000000006</v>
      </c>
      <c r="P15">
        <v>7.9601499999999996</v>
      </c>
    </row>
    <row r="16" spans="1:16" x14ac:dyDescent="0.25">
      <c r="A16">
        <v>4.1619999999999999</v>
      </c>
      <c r="B16">
        <v>5.1820000000000004</v>
      </c>
      <c r="C16">
        <v>4.1619999999999999</v>
      </c>
      <c r="D16">
        <v>5.1820000000000004</v>
      </c>
      <c r="E16">
        <v>4.6719999999999997</v>
      </c>
      <c r="F16">
        <v>2.9464399999999999</v>
      </c>
      <c r="G16">
        <v>2.85866</v>
      </c>
      <c r="H16">
        <v>2.96793</v>
      </c>
      <c r="I16">
        <v>3.10805</v>
      </c>
      <c r="J16">
        <v>3.4764599999999999</v>
      </c>
      <c r="K16">
        <v>3.4561299999999999</v>
      </c>
      <c r="L16">
        <v>3.5737000000000001</v>
      </c>
      <c r="M16">
        <v>3.8027600000000001</v>
      </c>
      <c r="N16">
        <v>3.6831499999999999</v>
      </c>
      <c r="O16">
        <v>4.1897500000000001</v>
      </c>
      <c r="P16">
        <v>4.1254</v>
      </c>
    </row>
    <row r="17" spans="1:16" x14ac:dyDescent="0.25">
      <c r="A17">
        <v>5.1820000000000004</v>
      </c>
      <c r="B17">
        <v>6.4509999999999996</v>
      </c>
      <c r="C17">
        <v>5.1820000000000004</v>
      </c>
      <c r="D17">
        <v>6.4509999999999996</v>
      </c>
      <c r="E17">
        <v>5.8164999999999996</v>
      </c>
      <c r="F17">
        <v>1.2178500000000001</v>
      </c>
      <c r="G17">
        <v>1.0673999999999999</v>
      </c>
      <c r="H17">
        <v>0.940137</v>
      </c>
      <c r="I17">
        <v>1.30393</v>
      </c>
      <c r="J17">
        <v>1.34873</v>
      </c>
      <c r="K17">
        <v>1.2634799999999999</v>
      </c>
      <c r="L17">
        <v>1.5249699999999999</v>
      </c>
      <c r="M17">
        <v>1.53078</v>
      </c>
      <c r="N17">
        <v>1.6753199999999999</v>
      </c>
      <c r="O17">
        <v>1.5925499999999999</v>
      </c>
      <c r="P17">
        <v>1.6187100000000001</v>
      </c>
    </row>
    <row r="18" spans="1:16" x14ac:dyDescent="0.25">
      <c r="A18">
        <v>6.4509999999999996</v>
      </c>
      <c r="B18">
        <v>8.032</v>
      </c>
      <c r="C18">
        <v>6.4509999999999996</v>
      </c>
      <c r="D18">
        <v>8.032</v>
      </c>
      <c r="E18">
        <v>7.2415000000000003</v>
      </c>
      <c r="F18">
        <v>0.44836500000000001</v>
      </c>
      <c r="G18">
        <v>0.36266100000000001</v>
      </c>
      <c r="H18">
        <v>0.50176500000000002</v>
      </c>
      <c r="I18">
        <v>0.36313499999999999</v>
      </c>
      <c r="J18">
        <v>0.406472</v>
      </c>
      <c r="K18">
        <v>0.40659800000000001</v>
      </c>
      <c r="L18">
        <v>0.50438899999999998</v>
      </c>
      <c r="M18">
        <v>0.58171700000000004</v>
      </c>
      <c r="N18">
        <v>0.55084500000000003</v>
      </c>
      <c r="O18">
        <v>0.84443400000000002</v>
      </c>
      <c r="P18">
        <v>0.455959</v>
      </c>
    </row>
    <row r="19" spans="1:16" x14ac:dyDescent="0.25">
      <c r="A19">
        <v>8.032</v>
      </c>
      <c r="B19">
        <v>10</v>
      </c>
      <c r="C19">
        <v>8.032</v>
      </c>
      <c r="D19">
        <v>10</v>
      </c>
      <c r="E19">
        <v>9.016</v>
      </c>
      <c r="F19">
        <v>7.4743500000000004E-2</v>
      </c>
      <c r="G19">
        <v>6.4012700000000006E-2</v>
      </c>
      <c r="H19">
        <v>0.128138</v>
      </c>
      <c r="I19">
        <v>6.4096399999999998E-2</v>
      </c>
      <c r="J19">
        <v>8.5591399999999998E-2</v>
      </c>
      <c r="K19">
        <v>4.2809E-2</v>
      </c>
      <c r="L19">
        <v>5.36699E-2</v>
      </c>
      <c r="M19">
        <v>0.16162299999999999</v>
      </c>
      <c r="N19">
        <v>0.129638</v>
      </c>
      <c r="O19">
        <v>0.119112</v>
      </c>
      <c r="P19">
        <v>0.16287699999999999</v>
      </c>
    </row>
    <row r="21" spans="1:16" ht="30" x14ac:dyDescent="0.25">
      <c r="F21" s="2" t="s">
        <v>16</v>
      </c>
      <c r="G21">
        <f>SUM(G10:G19)</f>
        <v>55.198763700000001</v>
      </c>
      <c r="H21">
        <f t="shared" ref="H21:P21" si="0">SUM(H10:H19)</f>
        <v>58.473443199999998</v>
      </c>
      <c r="I21">
        <f t="shared" si="0"/>
        <v>57.579409099999999</v>
      </c>
      <c r="J21">
        <f t="shared" si="0"/>
        <v>61.581623400000012</v>
      </c>
      <c r="K21">
        <f t="shared" si="0"/>
        <v>61.793197000000006</v>
      </c>
      <c r="L21">
        <f t="shared" si="0"/>
        <v>66.453235800000002</v>
      </c>
      <c r="M21">
        <f t="shared" si="0"/>
        <v>72.482079600000006</v>
      </c>
      <c r="N21">
        <f t="shared" si="0"/>
        <v>74.370792999999992</v>
      </c>
      <c r="O21">
        <f t="shared" si="0"/>
        <v>79.167146000000017</v>
      </c>
      <c r="P21">
        <f t="shared" si="0"/>
        <v>85.837923299999986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B122-6999-45BC-8772-68863771264A}">
  <dimension ref="A1:O21"/>
  <sheetViews>
    <sheetView topLeftCell="A13" workbookViewId="0">
      <selection activeCell="J25" sqref="J25"/>
    </sheetView>
  </sheetViews>
  <sheetFormatPr defaultRowHeight="15" x14ac:dyDescent="0.25"/>
  <sheetData>
    <row r="1" spans="1:15" x14ac:dyDescent="0.25">
      <c r="A1" t="s">
        <v>14</v>
      </c>
    </row>
    <row r="3" spans="1:1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</row>
    <row r="4" spans="1:15" x14ac:dyDescent="0.25">
      <c r="A4">
        <v>0.3</v>
      </c>
      <c r="B4">
        <v>0.374</v>
      </c>
      <c r="C4">
        <v>0.3</v>
      </c>
      <c r="D4">
        <v>0.374</v>
      </c>
      <c r="E4">
        <v>0.33700000000000002</v>
      </c>
      <c r="F4">
        <v>95.848299999999995</v>
      </c>
      <c r="G4">
        <v>41.497999999999998</v>
      </c>
      <c r="H4">
        <v>39.808500000000002</v>
      </c>
      <c r="I4">
        <v>38.258299999999998</v>
      </c>
      <c r="J4">
        <v>35.746200000000002</v>
      </c>
      <c r="K4">
        <v>36.151699999999998</v>
      </c>
      <c r="L4">
        <v>34.231299999999997</v>
      </c>
      <c r="M4">
        <v>34.522500000000001</v>
      </c>
      <c r="N4">
        <v>34.019100000000002</v>
      </c>
      <c r="O4">
        <v>32.710299999999997</v>
      </c>
    </row>
    <row r="5" spans="1:15" x14ac:dyDescent="0.25">
      <c r="A5">
        <v>0.374</v>
      </c>
      <c r="B5">
        <v>0.46500000000000002</v>
      </c>
      <c r="C5">
        <v>0.374</v>
      </c>
      <c r="D5">
        <v>0.46500000000000002</v>
      </c>
      <c r="E5">
        <v>0.41949999999999998</v>
      </c>
      <c r="F5">
        <v>45.351300000000002</v>
      </c>
      <c r="G5">
        <v>29.661000000000001</v>
      </c>
      <c r="H5">
        <v>27.771599999999999</v>
      </c>
      <c r="I5">
        <v>27.188099999999999</v>
      </c>
      <c r="J5">
        <v>26.266500000000001</v>
      </c>
      <c r="K5">
        <v>26.073599999999999</v>
      </c>
      <c r="L5">
        <v>24.1097</v>
      </c>
      <c r="M5">
        <v>23.546700000000001</v>
      </c>
      <c r="N5">
        <v>23.652000000000001</v>
      </c>
      <c r="O5">
        <v>23.810700000000001</v>
      </c>
    </row>
    <row r="6" spans="1:15" x14ac:dyDescent="0.25">
      <c r="A6">
        <v>0.46500000000000002</v>
      </c>
      <c r="B6">
        <v>0.57899999999999996</v>
      </c>
      <c r="C6">
        <v>0.46500000000000002</v>
      </c>
      <c r="D6">
        <v>0.57899999999999996</v>
      </c>
      <c r="E6">
        <v>0.52200000000000002</v>
      </c>
      <c r="F6">
        <v>25.4238</v>
      </c>
      <c r="G6">
        <v>26.354299999999999</v>
      </c>
      <c r="H6">
        <v>25.025300000000001</v>
      </c>
      <c r="I6">
        <v>24.372199999999999</v>
      </c>
      <c r="J6">
        <v>24.351700000000001</v>
      </c>
      <c r="K6">
        <v>22.960100000000001</v>
      </c>
      <c r="L6">
        <v>22.5992</v>
      </c>
      <c r="M6">
        <v>23.366399999999999</v>
      </c>
      <c r="N6">
        <v>21.387</v>
      </c>
      <c r="O6">
        <v>21.323599999999999</v>
      </c>
    </row>
    <row r="7" spans="1:15" x14ac:dyDescent="0.25">
      <c r="A7">
        <v>0.57899999999999996</v>
      </c>
      <c r="B7">
        <v>0.72099999999999997</v>
      </c>
      <c r="C7">
        <v>0.57899999999999996</v>
      </c>
      <c r="D7">
        <v>0.72099999999999997</v>
      </c>
      <c r="E7">
        <v>0.65</v>
      </c>
      <c r="F7">
        <v>15.3925</v>
      </c>
      <c r="G7">
        <v>17.861999999999998</v>
      </c>
      <c r="H7">
        <v>17.597300000000001</v>
      </c>
      <c r="I7">
        <v>17.2286</v>
      </c>
      <c r="J7">
        <v>16.671199999999999</v>
      </c>
      <c r="K7">
        <v>15.5543</v>
      </c>
      <c r="L7">
        <v>15.552300000000001</v>
      </c>
      <c r="M7">
        <v>14.836</v>
      </c>
      <c r="N7">
        <v>14.6356</v>
      </c>
      <c r="O7">
        <v>15.077400000000001</v>
      </c>
    </row>
    <row r="8" spans="1:15" x14ac:dyDescent="0.25">
      <c r="A8">
        <v>0.72099999999999997</v>
      </c>
      <c r="B8">
        <v>0.89700000000000002</v>
      </c>
      <c r="C8">
        <v>0.72099999999999997</v>
      </c>
      <c r="D8">
        <v>0.89700000000000002</v>
      </c>
      <c r="E8">
        <v>0.80900000000000005</v>
      </c>
      <c r="F8">
        <v>11.714600000000001</v>
      </c>
      <c r="G8">
        <v>14.5337</v>
      </c>
      <c r="H8">
        <v>14.299899999999999</v>
      </c>
      <c r="I8">
        <v>14.828099999999999</v>
      </c>
      <c r="J8">
        <v>15.378</v>
      </c>
      <c r="K8">
        <v>14.563000000000001</v>
      </c>
      <c r="L8">
        <v>14.085599999999999</v>
      </c>
      <c r="M8">
        <v>14.074299999999999</v>
      </c>
      <c r="N8">
        <v>13.048999999999999</v>
      </c>
      <c r="O8">
        <v>13.175599999999999</v>
      </c>
    </row>
    <row r="9" spans="1:15" x14ac:dyDescent="0.25">
      <c r="A9">
        <v>0.89700000000000002</v>
      </c>
      <c r="B9">
        <v>1.117</v>
      </c>
      <c r="C9">
        <v>0.89700000000000002</v>
      </c>
      <c r="D9">
        <v>1.117</v>
      </c>
      <c r="E9">
        <v>1.0069999999999999</v>
      </c>
      <c r="F9">
        <v>26.140799999999999</v>
      </c>
      <c r="G9">
        <v>33.470100000000002</v>
      </c>
      <c r="H9">
        <v>33.551299999999998</v>
      </c>
      <c r="I9">
        <v>31.245899999999999</v>
      </c>
      <c r="J9">
        <v>31.730699999999999</v>
      </c>
      <c r="K9">
        <v>29.9603</v>
      </c>
      <c r="L9">
        <v>30.1037</v>
      </c>
      <c r="M9">
        <v>28.955200000000001</v>
      </c>
      <c r="N9">
        <v>28.701899999999998</v>
      </c>
      <c r="O9">
        <v>28.564699999999998</v>
      </c>
    </row>
    <row r="10" spans="1:15" x14ac:dyDescent="0.25">
      <c r="A10">
        <v>1.117</v>
      </c>
      <c r="B10">
        <v>1.391</v>
      </c>
      <c r="C10">
        <v>1.117</v>
      </c>
      <c r="D10">
        <v>1.391</v>
      </c>
      <c r="E10">
        <v>1.254</v>
      </c>
      <c r="F10">
        <v>11.2844</v>
      </c>
      <c r="G10">
        <v>14.5017</v>
      </c>
      <c r="H10">
        <v>13.9216</v>
      </c>
      <c r="I10">
        <v>14.5001</v>
      </c>
      <c r="J10">
        <v>13.9217</v>
      </c>
      <c r="K10">
        <v>13.341900000000001</v>
      </c>
      <c r="L10">
        <v>12.635300000000001</v>
      </c>
      <c r="M10">
        <v>12.697699999999999</v>
      </c>
      <c r="N10">
        <v>12.834099999999999</v>
      </c>
      <c r="O10">
        <v>13.233700000000001</v>
      </c>
    </row>
    <row r="11" spans="1:15" x14ac:dyDescent="0.25">
      <c r="A11">
        <v>1.391</v>
      </c>
      <c r="B11">
        <v>1.732</v>
      </c>
      <c r="C11">
        <v>1.391</v>
      </c>
      <c r="D11">
        <v>1.732</v>
      </c>
      <c r="E11">
        <v>1.5615000000000001</v>
      </c>
      <c r="F11">
        <v>13.9869</v>
      </c>
      <c r="G11">
        <v>18.058299999999999</v>
      </c>
      <c r="H11">
        <v>17.793399999999998</v>
      </c>
      <c r="I11">
        <v>17.308800000000002</v>
      </c>
      <c r="J11">
        <v>17.256499999999999</v>
      </c>
      <c r="K11">
        <v>16.9604</v>
      </c>
      <c r="L11">
        <v>16.600300000000001</v>
      </c>
      <c r="M11">
        <v>14.81</v>
      </c>
      <c r="N11">
        <v>16.198899999999998</v>
      </c>
      <c r="O11">
        <v>15.546200000000001</v>
      </c>
    </row>
    <row r="12" spans="1:15" x14ac:dyDescent="0.25">
      <c r="A12">
        <v>1.732</v>
      </c>
      <c r="B12">
        <v>2.1560000000000001</v>
      </c>
      <c r="C12">
        <v>1.732</v>
      </c>
      <c r="D12">
        <v>2.1560000000000001</v>
      </c>
      <c r="E12">
        <v>1.944</v>
      </c>
      <c r="F12">
        <v>10.756500000000001</v>
      </c>
      <c r="G12">
        <v>13.8955</v>
      </c>
      <c r="H12">
        <v>14.062900000000001</v>
      </c>
      <c r="I12">
        <v>13.5145</v>
      </c>
      <c r="J12">
        <v>12.5977</v>
      </c>
      <c r="K12">
        <v>12.4596</v>
      </c>
      <c r="L12">
        <v>12.2578</v>
      </c>
      <c r="M12">
        <v>11.8355</v>
      </c>
      <c r="N12">
        <v>11.6349</v>
      </c>
      <c r="O12">
        <v>11.1289</v>
      </c>
    </row>
    <row r="13" spans="1:15" x14ac:dyDescent="0.25">
      <c r="A13">
        <v>2.1560000000000001</v>
      </c>
      <c r="B13">
        <v>2.6850000000000001</v>
      </c>
      <c r="C13">
        <v>2.1560000000000001</v>
      </c>
      <c r="D13">
        <v>2.6850000000000001</v>
      </c>
      <c r="E13">
        <v>2.4205000000000001</v>
      </c>
      <c r="F13">
        <v>6.1039599999999998</v>
      </c>
      <c r="G13">
        <v>8.0909099999999992</v>
      </c>
      <c r="H13">
        <v>7.5220799999999999</v>
      </c>
      <c r="I13">
        <v>7.6061199999999998</v>
      </c>
      <c r="J13">
        <v>7.45899</v>
      </c>
      <c r="K13">
        <v>6.9534599999999998</v>
      </c>
      <c r="L13">
        <v>7.0472200000000003</v>
      </c>
      <c r="M13">
        <v>7.0468400000000004</v>
      </c>
      <c r="N13">
        <v>6.3419800000000004</v>
      </c>
      <c r="O13">
        <v>6.1946500000000002</v>
      </c>
    </row>
    <row r="14" spans="1:15" x14ac:dyDescent="0.25">
      <c r="A14">
        <v>2.6850000000000001</v>
      </c>
      <c r="B14">
        <v>3.343</v>
      </c>
      <c r="C14">
        <v>2.6850000000000001</v>
      </c>
      <c r="D14">
        <v>3.343</v>
      </c>
      <c r="E14">
        <v>3.0139999999999998</v>
      </c>
      <c r="F14">
        <v>2.2862</v>
      </c>
      <c r="G14">
        <v>3.02291</v>
      </c>
      <c r="H14">
        <v>2.56976</v>
      </c>
      <c r="I14">
        <v>2.64344</v>
      </c>
      <c r="J14">
        <v>2.59084</v>
      </c>
      <c r="K14">
        <v>2.47479</v>
      </c>
      <c r="L14">
        <v>2.3375900000000001</v>
      </c>
      <c r="M14">
        <v>2.52698</v>
      </c>
      <c r="N14">
        <v>2.20052</v>
      </c>
      <c r="O14">
        <v>2.4847700000000001</v>
      </c>
    </row>
    <row r="15" spans="1:15" x14ac:dyDescent="0.25">
      <c r="A15">
        <v>3.343</v>
      </c>
      <c r="B15">
        <v>4.1619999999999999</v>
      </c>
      <c r="C15">
        <v>3.343</v>
      </c>
      <c r="D15">
        <v>4.1619999999999999</v>
      </c>
      <c r="E15">
        <v>3.7524999999999999</v>
      </c>
      <c r="F15">
        <v>0.69553600000000004</v>
      </c>
      <c r="G15">
        <v>0.97982000000000002</v>
      </c>
      <c r="H15">
        <v>0.62155000000000005</v>
      </c>
      <c r="I15">
        <v>0.57940100000000005</v>
      </c>
      <c r="J15">
        <v>0.62155300000000002</v>
      </c>
      <c r="K15">
        <v>0.64257200000000003</v>
      </c>
      <c r="L15">
        <v>0.54769500000000004</v>
      </c>
      <c r="M15">
        <v>0.63192099999999995</v>
      </c>
      <c r="N15">
        <v>0.46339599999999997</v>
      </c>
      <c r="O15">
        <v>0.64242699999999997</v>
      </c>
    </row>
    <row r="16" spans="1:15" x14ac:dyDescent="0.25">
      <c r="A16">
        <v>4.1619999999999999</v>
      </c>
      <c r="B16">
        <v>5.1820000000000004</v>
      </c>
      <c r="C16">
        <v>4.1619999999999999</v>
      </c>
      <c r="D16">
        <v>5.1820000000000004</v>
      </c>
      <c r="E16">
        <v>4.6719999999999997</v>
      </c>
      <c r="F16">
        <v>0.14749200000000001</v>
      </c>
      <c r="G16">
        <v>0.189584</v>
      </c>
      <c r="H16">
        <v>0.14743999999999999</v>
      </c>
      <c r="I16">
        <v>0.22115699999999999</v>
      </c>
      <c r="J16">
        <v>0.10531500000000001</v>
      </c>
      <c r="K16">
        <v>9.4776100000000002E-2</v>
      </c>
      <c r="L16">
        <v>0.105293</v>
      </c>
      <c r="M16">
        <v>9.4758700000000001E-2</v>
      </c>
      <c r="N16">
        <v>0.13686999999999999</v>
      </c>
      <c r="O16">
        <v>0.105283</v>
      </c>
    </row>
    <row r="17" spans="1:15" x14ac:dyDescent="0.25">
      <c r="A17">
        <v>5.1820000000000004</v>
      </c>
      <c r="B17">
        <v>6.4509999999999996</v>
      </c>
      <c r="C17">
        <v>5.1820000000000004</v>
      </c>
      <c r="D17">
        <v>6.4509999999999996</v>
      </c>
      <c r="E17">
        <v>5.8164999999999996</v>
      </c>
      <c r="F17">
        <v>4.2169699999999997E-2</v>
      </c>
      <c r="G17">
        <v>3.1619099999999997E-2</v>
      </c>
      <c r="H17">
        <v>3.1616199999999997E-2</v>
      </c>
      <c r="I17">
        <v>1.05386E-2</v>
      </c>
      <c r="J17">
        <v>4.2155199999999997E-2</v>
      </c>
      <c r="K17">
        <v>1.0538E-2</v>
      </c>
      <c r="L17">
        <v>1.05366E-2</v>
      </c>
      <c r="M17">
        <v>2.1072E-2</v>
      </c>
      <c r="N17">
        <v>3.1607099999999999E-2</v>
      </c>
      <c r="O17">
        <v>1.0535599999999999E-2</v>
      </c>
    </row>
    <row r="18" spans="1:15" x14ac:dyDescent="0.25">
      <c r="A18">
        <v>6.4509999999999996</v>
      </c>
      <c r="B18">
        <v>8.032</v>
      </c>
      <c r="C18">
        <v>6.4509999999999996</v>
      </c>
      <c r="D18">
        <v>8.032</v>
      </c>
      <c r="E18">
        <v>7.2415000000000003</v>
      </c>
      <c r="F18">
        <v>1.0534999999999999E-2</v>
      </c>
      <c r="G18">
        <v>0</v>
      </c>
      <c r="H18">
        <v>1.05313E-2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>
        <v>8.032</v>
      </c>
      <c r="B19">
        <v>10</v>
      </c>
      <c r="C19">
        <v>8.032</v>
      </c>
      <c r="D19">
        <v>10</v>
      </c>
      <c r="E19">
        <v>9.016</v>
      </c>
      <c r="F19">
        <v>1.0537299999999999E-2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1" spans="1:15" ht="30" x14ac:dyDescent="0.25">
      <c r="F21" s="2" t="s">
        <v>16</v>
      </c>
      <c r="G21">
        <f>SUM(G10:G19)</f>
        <v>58.770343100000005</v>
      </c>
      <c r="H21">
        <f t="shared" ref="H21:P21" si="0">SUM(H10:H19)</f>
        <v>56.680877500000001</v>
      </c>
      <c r="I21">
        <f t="shared" si="0"/>
        <v>56.384056599999987</v>
      </c>
      <c r="J21">
        <f t="shared" si="0"/>
        <v>54.594753199999992</v>
      </c>
      <c r="K21">
        <f t="shared" si="0"/>
        <v>52.938036099999998</v>
      </c>
      <c r="L21">
        <f t="shared" si="0"/>
        <v>51.541734600000005</v>
      </c>
      <c r="M21">
        <f t="shared" si="0"/>
        <v>49.664771699999996</v>
      </c>
      <c r="N21">
        <f t="shared" si="0"/>
        <v>49.8422731</v>
      </c>
      <c r="O21">
        <f t="shared" si="0"/>
        <v>49.346465599999995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Avg Sums</vt:lpstr>
      <vt:lpstr>20-80 PE</vt:lpstr>
      <vt:lpstr>50-50 PE</vt:lpstr>
      <vt:lpstr>100-0 PE</vt:lpstr>
      <vt:lpstr>AFR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2023-08-01T15:19:39Z</dcterms:created>
  <dcterms:modified xsi:type="dcterms:W3CDTF">2023-08-03T22:57:36Z</dcterms:modified>
</cp:coreProperties>
</file>