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PS\20230602 1-5 um FluorRed\"/>
    </mc:Choice>
  </mc:AlternateContent>
  <xr:revisionPtr revIDLastSave="0" documentId="13_ncr:1_{B9D481FB-F52F-4F03-8D9B-AFCD2205EF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0502_CCOPTIR_1to5um_Fluor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1" l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Q28" i="1"/>
  <c r="P28" i="1"/>
  <c r="R26" i="1"/>
</calcChain>
</file>

<file path=xl/sharedStrings.xml><?xml version="1.0" encoding="utf-8"?>
<sst xmlns="http://schemas.openxmlformats.org/spreadsheetml/2006/main" count="72" uniqueCount="41">
  <si>
    <t>Sample File</t>
  </si>
  <si>
    <t>C:\Users\rparham\Documents\Projects\M4AM\CC-OPTIR project\OPS\20230602 1-5 um FluorRed\20230502_CCOPTIR_1to5um_FluorRed.O30</t>
  </si>
  <si>
    <t>Instrument Model</t>
  </si>
  <si>
    <t>Instrument Serial Number</t>
  </si>
  <si>
    <t>Sample Length (s)</t>
  </si>
  <si>
    <t>Alarm Set</t>
  </si>
  <si>
    <t>No</t>
  </si>
  <si>
    <t>Dead Time Correction Applied</t>
  </si>
  <si>
    <t>Yes</t>
  </si>
  <si>
    <t>Units</t>
  </si>
  <si>
    <t>dW/dlogDp</t>
  </si>
  <si>
    <t>Weight</t>
  </si>
  <si>
    <t>Number</t>
  </si>
  <si>
    <t>Refractive Index Applied</t>
  </si>
  <si>
    <t>Sample #</t>
  </si>
  <si>
    <t>Date</t>
  </si>
  <si>
    <t>Start Time</t>
  </si>
  <si>
    <t>Temp.(C)</t>
  </si>
  <si>
    <t>Pressure(kPa)</t>
  </si>
  <si>
    <t>Rel. Humidity</t>
  </si>
  <si>
    <t>Errors</t>
  </si>
  <si>
    <t>Filter Concentration Error</t>
  </si>
  <si>
    <t>Alarm Triggered</t>
  </si>
  <si>
    <t>NA</t>
  </si>
  <si>
    <t>Dilution Factor</t>
  </si>
  <si>
    <t>Dead Time (s)</t>
  </si>
  <si>
    <t>Median</t>
  </si>
  <si>
    <t>Mean</t>
  </si>
  <si>
    <t>Geo. Mean</t>
  </si>
  <si>
    <t>Mode</t>
  </si>
  <si>
    <t>Geo.St.Dev.</t>
  </si>
  <si>
    <t>Total Conc. (#/cm³)</t>
  </si>
  <si>
    <t>LB</t>
  </si>
  <si>
    <t>UB</t>
  </si>
  <si>
    <t>LB with RI</t>
  </si>
  <si>
    <t>UB with RI</t>
  </si>
  <si>
    <t>MPDiam</t>
  </si>
  <si>
    <t>Data</t>
  </si>
  <si>
    <t>avg (2-10)</t>
  </si>
  <si>
    <t>avg(2-10)</t>
  </si>
  <si>
    <t>std error (2-10)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</si>
</sst>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tabSelected="1" topLeftCell="A10" workbookViewId="0">
      <selection activeCell="A27" sqref="A27:O43"/>
    </sheetView>
  </sheetViews>
  <sheetFormatPr defaultRowHeight="15" x14ac:dyDescent="0.25"/>
  <sheetData>
    <row r="1" spans="1:15" x14ac:dyDescent="0.25">
      <c r="A1" t="s">
        <v>0</v>
      </c>
      <c r="B1" t="s">
        <v>1</v>
      </c>
    </row>
    <row r="2" spans="1:15" x14ac:dyDescent="0.25">
      <c r="A2" t="s">
        <v>2</v>
      </c>
      <c r="B2">
        <v>3330</v>
      </c>
    </row>
    <row r="3" spans="1:15" x14ac:dyDescent="0.25">
      <c r="A3" t="s">
        <v>3</v>
      </c>
      <c r="B3">
        <v>3330164201</v>
      </c>
    </row>
    <row r="4" spans="1:15" x14ac:dyDescent="0.25">
      <c r="A4" t="s">
        <v>4</v>
      </c>
      <c r="B4">
        <v>60</v>
      </c>
    </row>
    <row r="5" spans="1:15" x14ac:dyDescent="0.25">
      <c r="A5" t="s">
        <v>5</v>
      </c>
      <c r="B5" t="s">
        <v>6</v>
      </c>
    </row>
    <row r="6" spans="1:15" x14ac:dyDescent="0.25">
      <c r="A6" t="s">
        <v>7</v>
      </c>
      <c r="B6" t="s">
        <v>8</v>
      </c>
    </row>
    <row r="7" spans="1:15" x14ac:dyDescent="0.25">
      <c r="A7" t="s">
        <v>9</v>
      </c>
      <c r="B7" t="s">
        <v>10</v>
      </c>
    </row>
    <row r="8" spans="1:15" x14ac:dyDescent="0.25">
      <c r="A8" t="s">
        <v>11</v>
      </c>
      <c r="B8" t="s">
        <v>12</v>
      </c>
    </row>
    <row r="9" spans="1:15" x14ac:dyDescent="0.25">
      <c r="A9" t="s">
        <v>13</v>
      </c>
      <c r="B9" t="s">
        <v>6</v>
      </c>
    </row>
    <row r="11" spans="1:15" x14ac:dyDescent="0.25">
      <c r="A11" t="s">
        <v>14</v>
      </c>
      <c r="F11">
        <v>1</v>
      </c>
      <c r="G11">
        <v>2</v>
      </c>
      <c r="H11">
        <v>3</v>
      </c>
      <c r="I11">
        <v>4</v>
      </c>
      <c r="J11">
        <v>5</v>
      </c>
      <c r="K11">
        <v>6</v>
      </c>
      <c r="L11">
        <v>7</v>
      </c>
      <c r="M11">
        <v>8</v>
      </c>
      <c r="N11">
        <v>9</v>
      </c>
      <c r="O11">
        <v>10</v>
      </c>
    </row>
    <row r="12" spans="1:15" x14ac:dyDescent="0.25">
      <c r="A12" t="s">
        <v>15</v>
      </c>
      <c r="F12" s="1">
        <v>45079</v>
      </c>
      <c r="G12" s="1">
        <v>45079</v>
      </c>
      <c r="H12" s="1">
        <v>45079</v>
      </c>
      <c r="I12" s="1">
        <v>45079</v>
      </c>
      <c r="J12" s="1">
        <v>45079</v>
      </c>
      <c r="K12" s="1">
        <v>45079</v>
      </c>
      <c r="L12" s="1">
        <v>45079</v>
      </c>
      <c r="M12" s="1">
        <v>45079</v>
      </c>
      <c r="N12" s="1">
        <v>45079</v>
      </c>
      <c r="O12" s="1">
        <v>45079</v>
      </c>
    </row>
    <row r="13" spans="1:15" x14ac:dyDescent="0.25">
      <c r="A13" t="s">
        <v>16</v>
      </c>
      <c r="F13" s="2">
        <v>0.72072916666666664</v>
      </c>
      <c r="G13" s="2">
        <v>0.72142361111111108</v>
      </c>
      <c r="H13" s="2">
        <v>0.72211805555555564</v>
      </c>
      <c r="I13" s="2">
        <v>0.72281249999999997</v>
      </c>
      <c r="J13" s="2">
        <v>0.72350694444444441</v>
      </c>
      <c r="K13" s="2">
        <v>0.72420138888888896</v>
      </c>
      <c r="L13" s="2">
        <v>0.72490740740740733</v>
      </c>
      <c r="M13" s="2">
        <v>0.72560185185185189</v>
      </c>
      <c r="N13" s="2">
        <v>0.72628472222222218</v>
      </c>
      <c r="O13" s="2">
        <v>0.72697916666666673</v>
      </c>
    </row>
    <row r="14" spans="1:15" x14ac:dyDescent="0.25">
      <c r="A14" t="s">
        <v>17</v>
      </c>
      <c r="F14">
        <v>34.034999999999997</v>
      </c>
      <c r="G14">
        <v>34.095999999999997</v>
      </c>
      <c r="H14">
        <v>34.095999999999997</v>
      </c>
      <c r="I14">
        <v>34.066000000000003</v>
      </c>
      <c r="J14">
        <v>34.005000000000003</v>
      </c>
      <c r="K14">
        <v>33.973999999999997</v>
      </c>
      <c r="L14">
        <v>33.883000000000003</v>
      </c>
      <c r="M14">
        <v>33.822000000000003</v>
      </c>
      <c r="N14">
        <v>33.761000000000003</v>
      </c>
      <c r="O14">
        <v>33.700000000000003</v>
      </c>
    </row>
    <row r="15" spans="1:15" x14ac:dyDescent="0.25">
      <c r="A15" t="s">
        <v>18</v>
      </c>
      <c r="F15">
        <v>98.385000000000005</v>
      </c>
      <c r="G15">
        <v>98.385000000000005</v>
      </c>
      <c r="H15">
        <v>98.385000000000005</v>
      </c>
      <c r="I15">
        <v>98.385000000000005</v>
      </c>
      <c r="J15">
        <v>98.385000000000005</v>
      </c>
      <c r="K15">
        <v>98.385000000000005</v>
      </c>
      <c r="L15">
        <v>98.385000000000005</v>
      </c>
      <c r="M15">
        <v>98.385000000000005</v>
      </c>
      <c r="N15">
        <v>98.385000000000005</v>
      </c>
      <c r="O15">
        <v>98.385000000000005</v>
      </c>
    </row>
    <row r="16" spans="1:15" x14ac:dyDescent="0.25">
      <c r="A16" t="s">
        <v>19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23" x14ac:dyDescent="0.25">
      <c r="A17" t="s">
        <v>20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</row>
    <row r="18" spans="1:23" x14ac:dyDescent="0.25">
      <c r="A18" t="s">
        <v>22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</row>
    <row r="19" spans="1:23" x14ac:dyDescent="0.25">
      <c r="A19" t="s">
        <v>24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23" x14ac:dyDescent="0.25">
      <c r="A20" t="s">
        <v>25</v>
      </c>
      <c r="F20">
        <v>0.173295</v>
      </c>
      <c r="G20">
        <v>0.15781100000000001</v>
      </c>
      <c r="H20">
        <v>0.15237999999999999</v>
      </c>
      <c r="I20">
        <v>0.15141299999999999</v>
      </c>
      <c r="J20">
        <v>0.15269099999999999</v>
      </c>
      <c r="K20">
        <v>0.14794199999999999</v>
      </c>
      <c r="L20">
        <v>0.140157</v>
      </c>
      <c r="M20">
        <v>0.13691500000000001</v>
      </c>
      <c r="N20">
        <v>0.13521900000000001</v>
      </c>
      <c r="O20">
        <v>0.134464</v>
      </c>
    </row>
    <row r="21" spans="1:23" x14ac:dyDescent="0.25">
      <c r="A21" t="s">
        <v>26</v>
      </c>
      <c r="F21">
        <v>0.40350900000000001</v>
      </c>
      <c r="G21">
        <v>0.61888600000000005</v>
      </c>
      <c r="H21">
        <v>0.62906200000000001</v>
      </c>
      <c r="I21">
        <v>0.63264100000000001</v>
      </c>
      <c r="J21">
        <v>0.64458599999999999</v>
      </c>
      <c r="K21">
        <v>0.63618699999999995</v>
      </c>
      <c r="L21">
        <v>0.646536</v>
      </c>
      <c r="M21">
        <v>0.63420399999999999</v>
      </c>
      <c r="N21">
        <v>0.64047600000000005</v>
      </c>
      <c r="O21">
        <v>0.64191600000000004</v>
      </c>
    </row>
    <row r="22" spans="1:23" x14ac:dyDescent="0.25">
      <c r="A22" t="s">
        <v>27</v>
      </c>
      <c r="F22">
        <v>0.72611400000000004</v>
      </c>
      <c r="G22">
        <v>0.91854899999999995</v>
      </c>
      <c r="H22">
        <v>0.91599399999999997</v>
      </c>
      <c r="I22">
        <v>0.92013699999999998</v>
      </c>
      <c r="J22">
        <v>0.92216699999999996</v>
      </c>
      <c r="K22">
        <v>0.91713199999999995</v>
      </c>
      <c r="L22">
        <v>0.92361099999999996</v>
      </c>
      <c r="M22">
        <v>0.91830400000000001</v>
      </c>
      <c r="N22">
        <v>0.91771999999999998</v>
      </c>
      <c r="O22">
        <v>0.92001299999999997</v>
      </c>
    </row>
    <row r="23" spans="1:23" x14ac:dyDescent="0.25">
      <c r="A23" t="s">
        <v>28</v>
      </c>
      <c r="F23">
        <v>0.58058500000000002</v>
      </c>
      <c r="G23">
        <v>0.743116</v>
      </c>
      <c r="H23">
        <v>0.74535799999999997</v>
      </c>
      <c r="I23">
        <v>0.74829000000000001</v>
      </c>
      <c r="J23">
        <v>0.75298500000000002</v>
      </c>
      <c r="K23">
        <v>0.747085</v>
      </c>
      <c r="L23">
        <v>0.75395100000000004</v>
      </c>
      <c r="M23">
        <v>0.74724299999999999</v>
      </c>
      <c r="N23">
        <v>0.74873400000000001</v>
      </c>
      <c r="O23">
        <v>0.75094799999999995</v>
      </c>
    </row>
    <row r="24" spans="1:23" x14ac:dyDescent="0.25">
      <c r="A24" t="s">
        <v>29</v>
      </c>
      <c r="F24">
        <v>0.33700000000000002</v>
      </c>
      <c r="G24">
        <v>0.33700000000000002</v>
      </c>
      <c r="H24">
        <v>0.33700000000000002</v>
      </c>
      <c r="I24">
        <v>0.33700000000000002</v>
      </c>
      <c r="J24">
        <v>0.33700000000000002</v>
      </c>
      <c r="K24">
        <v>0.33700000000000002</v>
      </c>
      <c r="L24">
        <v>0.33700000000000002</v>
      </c>
      <c r="M24">
        <v>0.33700000000000002</v>
      </c>
      <c r="N24">
        <v>0.33700000000000002</v>
      </c>
      <c r="O24">
        <v>0.33700000000000002</v>
      </c>
    </row>
    <row r="25" spans="1:23" x14ac:dyDescent="0.25">
      <c r="A25" t="s">
        <v>30</v>
      </c>
      <c r="F25">
        <v>1.8539300000000001</v>
      </c>
      <c r="G25">
        <v>1.8888799999999999</v>
      </c>
      <c r="H25">
        <v>1.8770800000000001</v>
      </c>
      <c r="I25">
        <v>1.8788400000000001</v>
      </c>
      <c r="J25">
        <v>1.8682099999999999</v>
      </c>
      <c r="K25">
        <v>1.8751</v>
      </c>
      <c r="L25">
        <v>1.87134</v>
      </c>
      <c r="M25">
        <v>1.8755200000000001</v>
      </c>
      <c r="N25">
        <v>1.8725099999999999</v>
      </c>
      <c r="O25">
        <v>1.8694299999999999</v>
      </c>
    </row>
    <row r="26" spans="1:23" x14ac:dyDescent="0.25">
      <c r="A26" t="s">
        <v>31</v>
      </c>
      <c r="F26">
        <v>25.271000000000001</v>
      </c>
      <c r="G26">
        <v>21.1526</v>
      </c>
      <c r="H26">
        <v>20.446899999999999</v>
      </c>
      <c r="I26">
        <v>19.9483</v>
      </c>
      <c r="J26">
        <v>19.493600000000001</v>
      </c>
      <c r="K26">
        <v>18.871500000000001</v>
      </c>
      <c r="L26">
        <v>18.302800000000001</v>
      </c>
      <c r="M26">
        <v>17.993099999999998</v>
      </c>
      <c r="N26">
        <v>17.642800000000001</v>
      </c>
      <c r="O26">
        <v>17.520299999999999</v>
      </c>
      <c r="Q26" t="s">
        <v>38</v>
      </c>
      <c r="R26">
        <f>AVERAGE(G26:O26)</f>
        <v>19.04132222222222</v>
      </c>
    </row>
    <row r="27" spans="1:23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39</v>
      </c>
      <c r="Q27" t="s">
        <v>40</v>
      </c>
      <c r="U27" t="s">
        <v>36</v>
      </c>
      <c r="V27" t="s">
        <v>39</v>
      </c>
      <c r="W27" t="s">
        <v>40</v>
      </c>
    </row>
    <row r="28" spans="1:23" x14ac:dyDescent="0.25">
      <c r="A28">
        <v>0.3</v>
      </c>
      <c r="B28">
        <v>0.374</v>
      </c>
      <c r="C28">
        <v>0.3</v>
      </c>
      <c r="D28">
        <v>0.374</v>
      </c>
      <c r="E28">
        <v>0.33700000000000002</v>
      </c>
      <c r="F28">
        <v>95.848299999999995</v>
      </c>
      <c r="G28">
        <v>41.497999999999998</v>
      </c>
      <c r="H28">
        <v>39.808500000000002</v>
      </c>
      <c r="I28">
        <v>38.258299999999998</v>
      </c>
      <c r="J28">
        <v>35.746200000000002</v>
      </c>
      <c r="K28">
        <v>36.151699999999998</v>
      </c>
      <c r="L28">
        <v>34.231299999999997</v>
      </c>
      <c r="M28">
        <v>34.522500000000001</v>
      </c>
      <c r="N28">
        <v>34.019100000000002</v>
      </c>
      <c r="O28">
        <v>32.710299999999997</v>
      </c>
      <c r="P28">
        <f>AVERAGE(G28:O28)</f>
        <v>36.327322222222222</v>
      </c>
      <c r="Q28">
        <f>_xlfn.STDEV.P(G28:O28)</f>
        <v>2.7691386702477954</v>
      </c>
      <c r="U28">
        <v>0.33700000000000002</v>
      </c>
      <c r="V28">
        <v>36.327322222222222</v>
      </c>
      <c r="W28">
        <v>2.7691386702477954</v>
      </c>
    </row>
    <row r="29" spans="1:23" x14ac:dyDescent="0.25">
      <c r="A29">
        <v>0.374</v>
      </c>
      <c r="B29">
        <v>0.46500000000000002</v>
      </c>
      <c r="C29">
        <v>0.374</v>
      </c>
      <c r="D29">
        <v>0.46500000000000002</v>
      </c>
      <c r="E29">
        <v>0.41949999999999998</v>
      </c>
      <c r="F29">
        <v>45.351300000000002</v>
      </c>
      <c r="G29">
        <v>29.661000000000001</v>
      </c>
      <c r="H29">
        <v>27.771599999999999</v>
      </c>
      <c r="I29">
        <v>27.188099999999999</v>
      </c>
      <c r="J29">
        <v>26.266500000000001</v>
      </c>
      <c r="K29">
        <v>26.073599999999999</v>
      </c>
      <c r="L29">
        <v>24.1097</v>
      </c>
      <c r="M29">
        <v>23.546700000000001</v>
      </c>
      <c r="N29">
        <v>23.652000000000001</v>
      </c>
      <c r="O29">
        <v>23.810700000000001</v>
      </c>
      <c r="P29">
        <f t="shared" ref="P29:P43" si="0">AVERAGE(G29:O29)</f>
        <v>25.786655555555555</v>
      </c>
      <c r="Q29">
        <f t="shared" ref="Q29:Q43" si="1">_xlfn.STDEV.P(G29:O29)</f>
        <v>2.0417290924394402</v>
      </c>
      <c r="U29">
        <v>0.41949999999999998</v>
      </c>
      <c r="V29">
        <v>25.786655555555555</v>
      </c>
      <c r="W29">
        <v>2.0417290924394402</v>
      </c>
    </row>
    <row r="30" spans="1:23" x14ac:dyDescent="0.25">
      <c r="A30">
        <v>0.46500000000000002</v>
      </c>
      <c r="B30">
        <v>0.57899999999999996</v>
      </c>
      <c r="C30">
        <v>0.46500000000000002</v>
      </c>
      <c r="D30">
        <v>0.57899999999999996</v>
      </c>
      <c r="E30">
        <v>0.52200000000000002</v>
      </c>
      <c r="F30">
        <v>25.4238</v>
      </c>
      <c r="G30">
        <v>26.354299999999999</v>
      </c>
      <c r="H30">
        <v>25.025300000000001</v>
      </c>
      <c r="I30">
        <v>24.372199999999999</v>
      </c>
      <c r="J30">
        <v>24.351700000000001</v>
      </c>
      <c r="K30">
        <v>22.960100000000001</v>
      </c>
      <c r="L30">
        <v>22.5992</v>
      </c>
      <c r="M30">
        <v>23.366399999999999</v>
      </c>
      <c r="N30">
        <v>21.387</v>
      </c>
      <c r="O30">
        <v>21.323599999999999</v>
      </c>
      <c r="P30">
        <f t="shared" si="0"/>
        <v>23.526644444444443</v>
      </c>
      <c r="Q30">
        <f t="shared" si="1"/>
        <v>1.5732334905545551</v>
      </c>
      <c r="U30">
        <v>0.52200000000000002</v>
      </c>
      <c r="V30">
        <v>23.526644444444443</v>
      </c>
      <c r="W30">
        <v>1.5732334905545551</v>
      </c>
    </row>
    <row r="31" spans="1:23" x14ac:dyDescent="0.25">
      <c r="A31">
        <v>0.57899999999999996</v>
      </c>
      <c r="B31">
        <v>0.72099999999999997</v>
      </c>
      <c r="C31">
        <v>0.57899999999999996</v>
      </c>
      <c r="D31">
        <v>0.72099999999999997</v>
      </c>
      <c r="E31">
        <v>0.65</v>
      </c>
      <c r="F31">
        <v>15.3925</v>
      </c>
      <c r="G31">
        <v>17.861999999999998</v>
      </c>
      <c r="H31">
        <v>17.597300000000001</v>
      </c>
      <c r="I31">
        <v>17.2286</v>
      </c>
      <c r="J31">
        <v>16.671199999999999</v>
      </c>
      <c r="K31">
        <v>15.5543</v>
      </c>
      <c r="L31">
        <v>15.552300000000001</v>
      </c>
      <c r="M31">
        <v>14.836</v>
      </c>
      <c r="N31">
        <v>14.6356</v>
      </c>
      <c r="O31">
        <v>15.077400000000001</v>
      </c>
      <c r="P31">
        <f t="shared" si="0"/>
        <v>16.112744444444445</v>
      </c>
      <c r="Q31">
        <f t="shared" si="1"/>
        <v>1.1705048674359955</v>
      </c>
      <c r="U31">
        <v>0.65</v>
      </c>
      <c r="V31">
        <v>16.112744444444445</v>
      </c>
      <c r="W31">
        <v>1.1705048674359955</v>
      </c>
    </row>
    <row r="32" spans="1:23" x14ac:dyDescent="0.25">
      <c r="A32">
        <v>0.72099999999999997</v>
      </c>
      <c r="B32">
        <v>0.89700000000000002</v>
      </c>
      <c r="C32">
        <v>0.72099999999999997</v>
      </c>
      <c r="D32">
        <v>0.89700000000000002</v>
      </c>
      <c r="E32">
        <v>0.80900000000000005</v>
      </c>
      <c r="F32">
        <v>11.714600000000001</v>
      </c>
      <c r="G32">
        <v>14.5337</v>
      </c>
      <c r="H32">
        <v>14.299899999999999</v>
      </c>
      <c r="I32">
        <v>14.828099999999999</v>
      </c>
      <c r="J32">
        <v>15.378</v>
      </c>
      <c r="K32">
        <v>14.563000000000001</v>
      </c>
      <c r="L32">
        <v>14.085599999999999</v>
      </c>
      <c r="M32">
        <v>14.074299999999999</v>
      </c>
      <c r="N32">
        <v>13.048999999999999</v>
      </c>
      <c r="O32">
        <v>13.175599999999999</v>
      </c>
      <c r="P32">
        <f t="shared" si="0"/>
        <v>14.220800000000001</v>
      </c>
      <c r="Q32">
        <f t="shared" si="1"/>
        <v>0.70194086170654979</v>
      </c>
      <c r="U32">
        <v>0.80900000000000005</v>
      </c>
      <c r="V32">
        <v>14.220800000000001</v>
      </c>
      <c r="W32">
        <v>0.70194086170654979</v>
      </c>
    </row>
    <row r="33" spans="1:23" x14ac:dyDescent="0.25">
      <c r="A33">
        <v>0.89700000000000002</v>
      </c>
      <c r="B33">
        <v>1.117</v>
      </c>
      <c r="C33">
        <v>0.89700000000000002</v>
      </c>
      <c r="D33">
        <v>1.117</v>
      </c>
      <c r="E33">
        <v>1.0069999999999999</v>
      </c>
      <c r="F33">
        <v>26.140799999999999</v>
      </c>
      <c r="G33">
        <v>33.470100000000002</v>
      </c>
      <c r="H33">
        <v>33.551299999999998</v>
      </c>
      <c r="I33">
        <v>31.245899999999999</v>
      </c>
      <c r="J33">
        <v>31.730699999999999</v>
      </c>
      <c r="K33">
        <v>29.9603</v>
      </c>
      <c r="L33">
        <v>30.1037</v>
      </c>
      <c r="M33">
        <v>28.955200000000001</v>
      </c>
      <c r="N33">
        <v>28.701899999999998</v>
      </c>
      <c r="O33">
        <v>28.564699999999998</v>
      </c>
      <c r="P33">
        <f t="shared" si="0"/>
        <v>30.6982</v>
      </c>
      <c r="Q33">
        <f t="shared" si="1"/>
        <v>1.815447675429458</v>
      </c>
      <c r="U33">
        <v>1.0069999999999999</v>
      </c>
      <c r="V33">
        <v>30.6982</v>
      </c>
      <c r="W33">
        <v>1.815447675429458</v>
      </c>
    </row>
    <row r="34" spans="1:23" x14ac:dyDescent="0.25">
      <c r="A34">
        <v>1.117</v>
      </c>
      <c r="B34">
        <v>1.391</v>
      </c>
      <c r="C34">
        <v>1.117</v>
      </c>
      <c r="D34">
        <v>1.391</v>
      </c>
      <c r="E34">
        <v>1.254</v>
      </c>
      <c r="F34">
        <v>11.2844</v>
      </c>
      <c r="G34">
        <v>14.5017</v>
      </c>
      <c r="H34">
        <v>13.9216</v>
      </c>
      <c r="I34">
        <v>14.5001</v>
      </c>
      <c r="J34">
        <v>13.9217</v>
      </c>
      <c r="K34">
        <v>13.341900000000001</v>
      </c>
      <c r="L34">
        <v>12.635300000000001</v>
      </c>
      <c r="M34">
        <v>12.697699999999999</v>
      </c>
      <c r="N34">
        <v>12.834099999999999</v>
      </c>
      <c r="O34">
        <v>13.233700000000001</v>
      </c>
      <c r="P34">
        <f t="shared" si="0"/>
        <v>13.509755555555554</v>
      </c>
      <c r="Q34">
        <f t="shared" si="1"/>
        <v>0.69033400146613566</v>
      </c>
      <c r="U34">
        <v>1.254</v>
      </c>
      <c r="V34">
        <v>13.509755555555554</v>
      </c>
      <c r="W34">
        <v>0.69033400146613566</v>
      </c>
    </row>
    <row r="35" spans="1:23" x14ac:dyDescent="0.25">
      <c r="A35">
        <v>1.391</v>
      </c>
      <c r="B35">
        <v>1.732</v>
      </c>
      <c r="C35">
        <v>1.391</v>
      </c>
      <c r="D35">
        <v>1.732</v>
      </c>
      <c r="E35">
        <v>1.5615000000000001</v>
      </c>
      <c r="F35">
        <v>13.9869</v>
      </c>
      <c r="G35">
        <v>18.058299999999999</v>
      </c>
      <c r="H35">
        <v>17.793399999999998</v>
      </c>
      <c r="I35">
        <v>17.308800000000002</v>
      </c>
      <c r="J35">
        <v>17.256499999999999</v>
      </c>
      <c r="K35">
        <v>16.9604</v>
      </c>
      <c r="L35">
        <v>16.600300000000001</v>
      </c>
      <c r="M35">
        <v>14.81</v>
      </c>
      <c r="N35">
        <v>16.198899999999998</v>
      </c>
      <c r="O35">
        <v>15.546200000000001</v>
      </c>
      <c r="P35">
        <f t="shared" si="0"/>
        <v>16.725866666666668</v>
      </c>
      <c r="Q35">
        <f t="shared" si="1"/>
        <v>0.99705200354734602</v>
      </c>
      <c r="U35">
        <v>1.5615000000000001</v>
      </c>
      <c r="V35">
        <v>16.725866666666668</v>
      </c>
      <c r="W35">
        <v>0.99705200354734602</v>
      </c>
    </row>
    <row r="36" spans="1:23" x14ac:dyDescent="0.25">
      <c r="A36">
        <v>1.732</v>
      </c>
      <c r="B36">
        <v>2.1560000000000001</v>
      </c>
      <c r="C36">
        <v>1.732</v>
      </c>
      <c r="D36">
        <v>2.1560000000000001</v>
      </c>
      <c r="E36">
        <v>1.944</v>
      </c>
      <c r="F36">
        <v>10.756500000000001</v>
      </c>
      <c r="G36">
        <v>13.8955</v>
      </c>
      <c r="H36">
        <v>14.062900000000001</v>
      </c>
      <c r="I36">
        <v>13.5145</v>
      </c>
      <c r="J36">
        <v>12.5977</v>
      </c>
      <c r="K36">
        <v>12.4596</v>
      </c>
      <c r="L36">
        <v>12.2578</v>
      </c>
      <c r="M36">
        <v>11.8355</v>
      </c>
      <c r="N36">
        <v>11.6349</v>
      </c>
      <c r="O36">
        <v>11.1289</v>
      </c>
      <c r="P36">
        <f t="shared" si="0"/>
        <v>12.598588888888889</v>
      </c>
      <c r="Q36">
        <f t="shared" si="1"/>
        <v>0.97019589939860951</v>
      </c>
      <c r="U36">
        <v>1.944</v>
      </c>
      <c r="V36">
        <v>12.598588888888889</v>
      </c>
      <c r="W36">
        <v>0.97019589939860951</v>
      </c>
    </row>
    <row r="37" spans="1:23" x14ac:dyDescent="0.25">
      <c r="A37">
        <v>2.1560000000000001</v>
      </c>
      <c r="B37">
        <v>2.6850000000000001</v>
      </c>
      <c r="C37">
        <v>2.1560000000000001</v>
      </c>
      <c r="D37">
        <v>2.6850000000000001</v>
      </c>
      <c r="E37">
        <v>2.4205000000000001</v>
      </c>
      <c r="F37">
        <v>6.1039599999999998</v>
      </c>
      <c r="G37">
        <v>8.0909099999999992</v>
      </c>
      <c r="H37">
        <v>7.5220799999999999</v>
      </c>
      <c r="I37">
        <v>7.6061199999999998</v>
      </c>
      <c r="J37">
        <v>7.45899</v>
      </c>
      <c r="K37">
        <v>6.9534599999999998</v>
      </c>
      <c r="L37">
        <v>7.0472200000000003</v>
      </c>
      <c r="M37">
        <v>7.0468400000000004</v>
      </c>
      <c r="N37">
        <v>6.3419800000000004</v>
      </c>
      <c r="O37">
        <v>6.1946500000000002</v>
      </c>
      <c r="P37">
        <f t="shared" si="0"/>
        <v>7.1402500000000009</v>
      </c>
      <c r="Q37">
        <f t="shared" si="1"/>
        <v>0.57269766068629546</v>
      </c>
      <c r="U37">
        <v>2.4205000000000001</v>
      </c>
      <c r="V37">
        <v>7.1402500000000009</v>
      </c>
      <c r="W37">
        <v>0.57269766068629546</v>
      </c>
    </row>
    <row r="38" spans="1:23" x14ac:dyDescent="0.25">
      <c r="A38">
        <v>2.6850000000000001</v>
      </c>
      <c r="B38">
        <v>3.343</v>
      </c>
      <c r="C38">
        <v>2.6850000000000001</v>
      </c>
      <c r="D38">
        <v>3.343</v>
      </c>
      <c r="E38">
        <v>3.0139999999999998</v>
      </c>
      <c r="F38">
        <v>2.2862</v>
      </c>
      <c r="G38">
        <v>3.02291</v>
      </c>
      <c r="H38">
        <v>2.56976</v>
      </c>
      <c r="I38">
        <v>2.64344</v>
      </c>
      <c r="J38">
        <v>2.59084</v>
      </c>
      <c r="K38">
        <v>2.47479</v>
      </c>
      <c r="L38">
        <v>2.3375900000000001</v>
      </c>
      <c r="M38">
        <v>2.52698</v>
      </c>
      <c r="N38">
        <v>2.20052</v>
      </c>
      <c r="O38">
        <v>2.4847700000000001</v>
      </c>
      <c r="P38">
        <f t="shared" si="0"/>
        <v>2.5390666666666672</v>
      </c>
      <c r="Q38">
        <f t="shared" si="1"/>
        <v>0.21371141517892245</v>
      </c>
      <c r="U38">
        <v>3.0139999999999998</v>
      </c>
      <c r="V38">
        <v>2.5390666666666672</v>
      </c>
      <c r="W38">
        <v>0.21371141517892245</v>
      </c>
    </row>
    <row r="39" spans="1:23" x14ac:dyDescent="0.25">
      <c r="A39">
        <v>3.343</v>
      </c>
      <c r="B39">
        <v>4.1619999999999999</v>
      </c>
      <c r="C39">
        <v>3.343</v>
      </c>
      <c r="D39">
        <v>4.1619999999999999</v>
      </c>
      <c r="E39">
        <v>3.7524999999999999</v>
      </c>
      <c r="F39">
        <v>0.69553600000000004</v>
      </c>
      <c r="G39">
        <v>0.97982000000000002</v>
      </c>
      <c r="H39">
        <v>0.62155000000000005</v>
      </c>
      <c r="I39">
        <v>0.57940100000000005</v>
      </c>
      <c r="J39">
        <v>0.62155300000000002</v>
      </c>
      <c r="K39">
        <v>0.64257200000000003</v>
      </c>
      <c r="L39">
        <v>0.54769500000000004</v>
      </c>
      <c r="M39">
        <v>0.63192099999999995</v>
      </c>
      <c r="N39">
        <v>0.46339599999999997</v>
      </c>
      <c r="O39">
        <v>0.64242699999999997</v>
      </c>
      <c r="P39">
        <f t="shared" si="0"/>
        <v>0.63670388888888896</v>
      </c>
      <c r="Q39">
        <f t="shared" si="1"/>
        <v>0.13313307793703125</v>
      </c>
      <c r="U39">
        <v>3.7524999999999999</v>
      </c>
      <c r="V39">
        <v>0.63670388888888896</v>
      </c>
      <c r="W39">
        <v>0.13313307793703125</v>
      </c>
    </row>
    <row r="40" spans="1:23" x14ac:dyDescent="0.25">
      <c r="A40">
        <v>4.1619999999999999</v>
      </c>
      <c r="B40">
        <v>5.1820000000000004</v>
      </c>
      <c r="C40">
        <v>4.1619999999999999</v>
      </c>
      <c r="D40">
        <v>5.1820000000000004</v>
      </c>
      <c r="E40">
        <v>4.6719999999999997</v>
      </c>
      <c r="F40">
        <v>0.14749200000000001</v>
      </c>
      <c r="G40">
        <v>0.189584</v>
      </c>
      <c r="H40">
        <v>0.14743999999999999</v>
      </c>
      <c r="I40">
        <v>0.22115699999999999</v>
      </c>
      <c r="J40">
        <v>0.10531500000000001</v>
      </c>
      <c r="K40">
        <v>9.4776100000000002E-2</v>
      </c>
      <c r="L40">
        <v>0.105293</v>
      </c>
      <c r="M40">
        <v>9.4758700000000001E-2</v>
      </c>
      <c r="N40">
        <v>0.13686999999999999</v>
      </c>
      <c r="O40">
        <v>0.105283</v>
      </c>
      <c r="P40">
        <f t="shared" si="0"/>
        <v>0.13338631111111113</v>
      </c>
      <c r="Q40">
        <f t="shared" si="1"/>
        <v>4.2715318353579557E-2</v>
      </c>
      <c r="U40">
        <v>4.6719999999999997</v>
      </c>
      <c r="V40">
        <v>0.13338631111111113</v>
      </c>
      <c r="W40">
        <v>4.2715318353579557E-2</v>
      </c>
    </row>
    <row r="41" spans="1:23" x14ac:dyDescent="0.25">
      <c r="A41">
        <v>5.1820000000000004</v>
      </c>
      <c r="B41">
        <v>6.4509999999999996</v>
      </c>
      <c r="C41">
        <v>5.1820000000000004</v>
      </c>
      <c r="D41">
        <v>6.4509999999999996</v>
      </c>
      <c r="E41">
        <v>5.8164999999999996</v>
      </c>
      <c r="F41">
        <v>4.2169699999999997E-2</v>
      </c>
      <c r="G41">
        <v>3.1619099999999997E-2</v>
      </c>
      <c r="H41">
        <v>3.1616199999999997E-2</v>
      </c>
      <c r="I41">
        <v>1.05386E-2</v>
      </c>
      <c r="J41">
        <v>4.2155199999999997E-2</v>
      </c>
      <c r="K41">
        <v>1.0538E-2</v>
      </c>
      <c r="L41">
        <v>1.05366E-2</v>
      </c>
      <c r="M41">
        <v>2.1072E-2</v>
      </c>
      <c r="N41">
        <v>3.1607099999999999E-2</v>
      </c>
      <c r="O41">
        <v>1.0535599999999999E-2</v>
      </c>
      <c r="P41">
        <f t="shared" si="0"/>
        <v>2.2246488888888888E-2</v>
      </c>
      <c r="Q41">
        <f t="shared" si="1"/>
        <v>1.1592259671526457E-2</v>
      </c>
      <c r="U41">
        <v>5.8164999999999996</v>
      </c>
      <c r="V41">
        <v>2.2246488888888888E-2</v>
      </c>
      <c r="W41">
        <v>1.1592259671526457E-2</v>
      </c>
    </row>
    <row r="42" spans="1:23" x14ac:dyDescent="0.25">
      <c r="A42">
        <v>6.4509999999999996</v>
      </c>
      <c r="B42">
        <v>8.032</v>
      </c>
      <c r="C42">
        <v>6.4509999999999996</v>
      </c>
      <c r="D42">
        <v>8.032</v>
      </c>
      <c r="E42">
        <v>7.2415000000000003</v>
      </c>
      <c r="F42">
        <v>1.0534999999999999E-2</v>
      </c>
      <c r="G42">
        <v>0</v>
      </c>
      <c r="H42">
        <v>1.05313E-2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f t="shared" si="0"/>
        <v>1.1701444444444445E-3</v>
      </c>
      <c r="Q42">
        <f t="shared" si="1"/>
        <v>3.309668286537728E-3</v>
      </c>
      <c r="U42">
        <v>7.2415000000000003</v>
      </c>
      <c r="V42">
        <v>1.1701444444444445E-3</v>
      </c>
      <c r="W42">
        <v>3.309668286537728E-3</v>
      </c>
    </row>
    <row r="43" spans="1:23" x14ac:dyDescent="0.25">
      <c r="A43">
        <v>8.032</v>
      </c>
      <c r="B43">
        <v>10</v>
      </c>
      <c r="C43">
        <v>8.032</v>
      </c>
      <c r="D43">
        <v>10</v>
      </c>
      <c r="E43">
        <v>9.016</v>
      </c>
      <c r="F43">
        <v>1.0537299999999999E-2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f t="shared" si="0"/>
        <v>0</v>
      </c>
      <c r="Q43">
        <f t="shared" si="1"/>
        <v>0</v>
      </c>
      <c r="U43">
        <v>9.016</v>
      </c>
      <c r="V43">
        <v>0</v>
      </c>
      <c r="W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20230502_CCOPTIR_1to5um_FluorRe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Parham, Rebecca</cp:lastModifiedBy>
  <dcterms:created xsi:type="dcterms:W3CDTF">2023-06-05T15:30:59Z</dcterms:created>
  <dcterms:modified xsi:type="dcterms:W3CDTF">2023-08-03T22:45:57Z</dcterms:modified>
</cp:coreProperties>
</file>