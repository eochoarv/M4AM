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PS\20230602 1-5 um PP\"/>
    </mc:Choice>
  </mc:AlternateContent>
  <xr:revisionPtr revIDLastSave="0" documentId="13_ncr:40009_{2E8EDDFD-3D7B-4C8A-9161-AF3BB245970B}" xr6:coauthVersionLast="47" xr6:coauthVersionMax="47" xr10:uidLastSave="{00000000-0000-0000-0000-000000000000}"/>
  <bookViews>
    <workbookView xWindow="-120" yWindow="-120" windowWidth="29040" windowHeight="15840"/>
  </bookViews>
  <sheets>
    <sheet name="20230502_CCOPTIR_1to5um_PP_v2" sheetId="1" r:id="rId1"/>
  </sheets>
  <calcPr calcId="0"/>
</workbook>
</file>

<file path=xl/calcChain.xml><?xml version="1.0" encoding="utf-8"?>
<calcChain xmlns="http://schemas.openxmlformats.org/spreadsheetml/2006/main">
  <c r="K29" i="1" l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28" i="1"/>
  <c r="M26" i="1"/>
</calcChain>
</file>

<file path=xl/sharedStrings.xml><?xml version="1.0" encoding="utf-8"?>
<sst xmlns="http://schemas.openxmlformats.org/spreadsheetml/2006/main" count="57" uniqueCount="40">
  <si>
    <t>Sample File</t>
  </si>
  <si>
    <t>C:\Users\rparham\Documents\Projects\M4AM\CC-OPTIR project\OPS\20230602 1-5 um PP\20230502_CCOPTIR_1to5um_PP_v2.O30</t>
  </si>
  <si>
    <t>Instrument Model</t>
  </si>
  <si>
    <t>Instrument Serial Number</t>
  </si>
  <si>
    <t>Sample Length (s)</t>
  </si>
  <si>
    <t>Alarm Set</t>
  </si>
  <si>
    <t>No</t>
  </si>
  <si>
    <t>Dead Time Correction Applied</t>
  </si>
  <si>
    <t>Yes</t>
  </si>
  <si>
    <t>Units</t>
  </si>
  <si>
    <t>dW/dlogDp</t>
  </si>
  <si>
    <t>Weight</t>
  </si>
  <si>
    <t>Number</t>
  </si>
  <si>
    <t>Refractive Index Applied</t>
  </si>
  <si>
    <t>Sample #</t>
  </si>
  <si>
    <t>Date</t>
  </si>
  <si>
    <t>Start Time</t>
  </si>
  <si>
    <t>Temp.(C)</t>
  </si>
  <si>
    <t>Pressure(kPa)</t>
  </si>
  <si>
    <t>Rel. Humidity</t>
  </si>
  <si>
    <t>Errors</t>
  </si>
  <si>
    <t>No Errors</t>
  </si>
  <si>
    <t>Alarm Triggered</t>
  </si>
  <si>
    <t>NA</t>
  </si>
  <si>
    <t>Dilution Factor</t>
  </si>
  <si>
    <t>Dead Time (s)</t>
  </si>
  <si>
    <t>Median</t>
  </si>
  <si>
    <t>Mean</t>
  </si>
  <si>
    <t>Geo. Mean</t>
  </si>
  <si>
    <t>Mode</t>
  </si>
  <si>
    <t>Geo.St.Dev.</t>
  </si>
  <si>
    <t>Total Conc. (#/cm³)</t>
  </si>
  <si>
    <t>LB</t>
  </si>
  <si>
    <t>UB</t>
  </si>
  <si>
    <t>LB with RI</t>
  </si>
  <si>
    <t>UB with RI</t>
  </si>
  <si>
    <t>MPDiam</t>
  </si>
  <si>
    <t>Data</t>
  </si>
  <si>
    <t>avg (2-5)</t>
  </si>
  <si>
    <t>std error (2-5)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</si>
</sst>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topLeftCell="A16" workbookViewId="0">
      <selection activeCell="O27" sqref="O27:Q43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>
        <v>3330</v>
      </c>
    </row>
    <row r="3" spans="1:10" x14ac:dyDescent="0.25">
      <c r="A3" t="s">
        <v>3</v>
      </c>
      <c r="B3">
        <v>3330164201</v>
      </c>
    </row>
    <row r="4" spans="1:10" x14ac:dyDescent="0.25">
      <c r="A4" t="s">
        <v>4</v>
      </c>
      <c r="B4">
        <v>60</v>
      </c>
    </row>
    <row r="5" spans="1:10" x14ac:dyDescent="0.25">
      <c r="A5" t="s">
        <v>5</v>
      </c>
      <c r="B5" t="s">
        <v>6</v>
      </c>
    </row>
    <row r="6" spans="1:10" x14ac:dyDescent="0.25">
      <c r="A6" t="s">
        <v>7</v>
      </c>
      <c r="B6" t="s">
        <v>8</v>
      </c>
    </row>
    <row r="7" spans="1:10" x14ac:dyDescent="0.25">
      <c r="A7" t="s">
        <v>9</v>
      </c>
      <c r="B7" t="s">
        <v>10</v>
      </c>
    </row>
    <row r="8" spans="1:10" x14ac:dyDescent="0.25">
      <c r="A8" t="s">
        <v>11</v>
      </c>
      <c r="B8" t="s">
        <v>12</v>
      </c>
    </row>
    <row r="9" spans="1:10" x14ac:dyDescent="0.25">
      <c r="A9" t="s">
        <v>13</v>
      </c>
      <c r="B9" t="s">
        <v>6</v>
      </c>
    </row>
    <row r="11" spans="1:10" x14ac:dyDescent="0.25">
      <c r="A11" t="s">
        <v>14</v>
      </c>
      <c r="F11">
        <v>1</v>
      </c>
      <c r="G11">
        <v>2</v>
      </c>
      <c r="H11">
        <v>3</v>
      </c>
      <c r="I11">
        <v>4</v>
      </c>
      <c r="J11">
        <v>5</v>
      </c>
    </row>
    <row r="12" spans="1:10" x14ac:dyDescent="0.25">
      <c r="A12" t="s">
        <v>15</v>
      </c>
      <c r="F12" s="1">
        <v>45079</v>
      </c>
      <c r="G12" s="1">
        <v>45079</v>
      </c>
      <c r="H12" s="1">
        <v>45079</v>
      </c>
      <c r="I12" s="1">
        <v>45079</v>
      </c>
      <c r="J12" s="1">
        <v>45079</v>
      </c>
    </row>
    <row r="13" spans="1:10" x14ac:dyDescent="0.25">
      <c r="A13" t="s">
        <v>16</v>
      </c>
      <c r="F13" s="2">
        <v>0.66706018518518517</v>
      </c>
      <c r="G13" s="2">
        <v>0.66775462962962961</v>
      </c>
      <c r="H13" s="2">
        <v>0.66844907407407417</v>
      </c>
      <c r="I13" s="2">
        <v>0.6691435185185185</v>
      </c>
      <c r="J13" s="2">
        <v>0.66983796296296294</v>
      </c>
    </row>
    <row r="14" spans="1:10" x14ac:dyDescent="0.25">
      <c r="A14" t="s">
        <v>17</v>
      </c>
      <c r="F14">
        <v>32.082000000000001</v>
      </c>
      <c r="G14">
        <v>32.112000000000002</v>
      </c>
      <c r="H14">
        <v>32.143000000000001</v>
      </c>
      <c r="I14">
        <v>32.112000000000002</v>
      </c>
      <c r="J14">
        <v>32.112000000000002</v>
      </c>
    </row>
    <row r="15" spans="1:10" x14ac:dyDescent="0.25">
      <c r="A15" t="s">
        <v>18</v>
      </c>
      <c r="F15">
        <v>98.447999999999993</v>
      </c>
      <c r="G15">
        <v>98.447999999999993</v>
      </c>
      <c r="H15">
        <v>98.447999999999993</v>
      </c>
      <c r="I15">
        <v>98.447999999999993</v>
      </c>
      <c r="J15">
        <v>98.447999999999993</v>
      </c>
    </row>
    <row r="16" spans="1:10" x14ac:dyDescent="0.25">
      <c r="A16" t="s">
        <v>19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7" x14ac:dyDescent="0.25">
      <c r="A17" t="s">
        <v>20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</row>
    <row r="18" spans="1:17" x14ac:dyDescent="0.25">
      <c r="A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</row>
    <row r="19" spans="1:17" x14ac:dyDescent="0.25">
      <c r="A19" t="s">
        <v>24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7" x14ac:dyDescent="0.25">
      <c r="A20" t="s">
        <v>25</v>
      </c>
      <c r="F20">
        <v>5.9270000000000003E-2</v>
      </c>
      <c r="G20">
        <v>1.8500000000000001E-3</v>
      </c>
      <c r="H20">
        <v>1.874E-3</v>
      </c>
      <c r="I20">
        <v>1.704E-3</v>
      </c>
      <c r="J20">
        <v>1.941E-3</v>
      </c>
    </row>
    <row r="21" spans="1:17" x14ac:dyDescent="0.25">
      <c r="A21" t="s">
        <v>26</v>
      </c>
      <c r="F21">
        <v>0.32733400000000001</v>
      </c>
      <c r="G21">
        <v>0.38501200000000002</v>
      </c>
      <c r="H21">
        <v>0.39490900000000001</v>
      </c>
      <c r="I21">
        <v>0.406609</v>
      </c>
      <c r="J21">
        <v>0.38146400000000003</v>
      </c>
    </row>
    <row r="22" spans="1:17" x14ac:dyDescent="0.25">
      <c r="A22" t="s">
        <v>27</v>
      </c>
      <c r="F22">
        <v>0.38328000000000001</v>
      </c>
      <c r="G22">
        <v>0.66556899999999997</v>
      </c>
      <c r="H22">
        <v>0.79694799999999999</v>
      </c>
      <c r="I22">
        <v>0.81248200000000004</v>
      </c>
      <c r="J22">
        <v>0.71028500000000006</v>
      </c>
    </row>
    <row r="23" spans="1:17" x14ac:dyDescent="0.25">
      <c r="A23" t="s">
        <v>28</v>
      </c>
      <c r="F23">
        <v>0.37195699999999998</v>
      </c>
      <c r="G23">
        <v>0.52852200000000005</v>
      </c>
      <c r="H23">
        <v>0.58953100000000003</v>
      </c>
      <c r="I23">
        <v>0.60348500000000005</v>
      </c>
      <c r="J23">
        <v>0.53404799999999997</v>
      </c>
    </row>
    <row r="24" spans="1:17" x14ac:dyDescent="0.25">
      <c r="A24" t="s">
        <v>29</v>
      </c>
      <c r="F24">
        <v>0.33700000000000002</v>
      </c>
      <c r="G24">
        <v>0.33700000000000002</v>
      </c>
      <c r="H24">
        <v>0.33700000000000002</v>
      </c>
      <c r="I24">
        <v>0.33700000000000002</v>
      </c>
      <c r="J24">
        <v>0.33700000000000002</v>
      </c>
    </row>
    <row r="25" spans="1:17" x14ac:dyDescent="0.25">
      <c r="A25" t="s">
        <v>30</v>
      </c>
      <c r="F25">
        <v>1.22021</v>
      </c>
      <c r="G25">
        <v>1.8055000000000001</v>
      </c>
      <c r="H25">
        <v>1.97401</v>
      </c>
      <c r="I25">
        <v>1.9875700000000001</v>
      </c>
      <c r="J25">
        <v>1.8647800000000001</v>
      </c>
    </row>
    <row r="26" spans="1:17" x14ac:dyDescent="0.25">
      <c r="A26" t="s">
        <v>31</v>
      </c>
      <c r="F26">
        <v>10.167999999999999</v>
      </c>
      <c r="G26">
        <v>0.29100900000000002</v>
      </c>
      <c r="H26">
        <v>0.28900900000000002</v>
      </c>
      <c r="I26">
        <v>0.27100800000000003</v>
      </c>
      <c r="J26">
        <v>0.29300900000000002</v>
      </c>
      <c r="L26" t="s">
        <v>38</v>
      </c>
      <c r="M26">
        <f>AVERAGE(G26:J26)</f>
        <v>0.28600875000000003</v>
      </c>
    </row>
    <row r="27" spans="1:17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38</v>
      </c>
      <c r="L27" t="s">
        <v>39</v>
      </c>
      <c r="O27" t="s">
        <v>36</v>
      </c>
      <c r="P27" t="s">
        <v>38</v>
      </c>
      <c r="Q27" t="s">
        <v>39</v>
      </c>
    </row>
    <row r="28" spans="1:17" x14ac:dyDescent="0.25">
      <c r="A28">
        <v>0.3</v>
      </c>
      <c r="B28">
        <v>0.374</v>
      </c>
      <c r="C28">
        <v>0.3</v>
      </c>
      <c r="D28">
        <v>0.374</v>
      </c>
      <c r="E28">
        <v>0.33700000000000002</v>
      </c>
      <c r="F28">
        <v>71.872299999999996</v>
      </c>
      <c r="G28">
        <v>1.14886</v>
      </c>
      <c r="H28">
        <v>1.1279699999999999</v>
      </c>
      <c r="I28">
        <v>0.99219199999999996</v>
      </c>
      <c r="J28">
        <v>1.0966400000000001</v>
      </c>
      <c r="K28">
        <f>AVERAGE(G28:J28)</f>
        <v>1.0914154999999999</v>
      </c>
      <c r="L28">
        <f>_xlfn.STDEV.P(G28:J28)/SQRT(4)</f>
        <v>3.0113016706857849E-2</v>
      </c>
      <c r="O28">
        <v>0.33700000000000002</v>
      </c>
      <c r="P28">
        <v>1.0914154999999999</v>
      </c>
      <c r="Q28">
        <v>3.0113016706857849E-2</v>
      </c>
    </row>
    <row r="29" spans="1:17" x14ac:dyDescent="0.25">
      <c r="A29">
        <v>0.374</v>
      </c>
      <c r="B29">
        <v>0.46500000000000002</v>
      </c>
      <c r="C29">
        <v>0.374</v>
      </c>
      <c r="D29">
        <v>0.46500000000000002</v>
      </c>
      <c r="E29">
        <v>0.41949999999999998</v>
      </c>
      <c r="F29">
        <v>27.1252</v>
      </c>
      <c r="G29">
        <v>0.64496699999999996</v>
      </c>
      <c r="H29">
        <v>0.54980799999999996</v>
      </c>
      <c r="I29">
        <v>0.50751400000000002</v>
      </c>
      <c r="J29">
        <v>0.81413999999999997</v>
      </c>
      <c r="K29">
        <f t="shared" ref="K29:K43" si="0">AVERAGE(G29:J29)</f>
        <v>0.62910725000000001</v>
      </c>
      <c r="L29">
        <f t="shared" ref="L29:L43" si="1">_xlfn.STDEV.P(G29:J29)/SQRT(4)</f>
        <v>5.8928950726038459E-2</v>
      </c>
      <c r="O29">
        <v>0.41949999999999998</v>
      </c>
      <c r="P29">
        <v>0.62910725000000001</v>
      </c>
      <c r="Q29">
        <v>5.8928950726038459E-2</v>
      </c>
    </row>
    <row r="30" spans="1:17" x14ac:dyDescent="0.25">
      <c r="A30">
        <v>0.46500000000000002</v>
      </c>
      <c r="B30">
        <v>0.57899999999999996</v>
      </c>
      <c r="C30">
        <v>0.46500000000000002</v>
      </c>
      <c r="D30">
        <v>0.57899999999999996</v>
      </c>
      <c r="E30">
        <v>0.52200000000000002</v>
      </c>
      <c r="F30">
        <v>5.3399700000000001</v>
      </c>
      <c r="G30">
        <v>0.50408200000000003</v>
      </c>
      <c r="H30">
        <v>0.25204100000000002</v>
      </c>
      <c r="I30">
        <v>0.32555200000000001</v>
      </c>
      <c r="J30">
        <v>0.38856400000000002</v>
      </c>
      <c r="K30">
        <f t="shared" si="0"/>
        <v>0.36755975000000007</v>
      </c>
      <c r="L30">
        <f t="shared" si="1"/>
        <v>4.6225490752363707E-2</v>
      </c>
      <c r="O30">
        <v>0.52200000000000002</v>
      </c>
      <c r="P30">
        <v>0.36755975000000007</v>
      </c>
      <c r="Q30">
        <v>4.6225490752363707E-2</v>
      </c>
    </row>
    <row r="31" spans="1:17" x14ac:dyDescent="0.25">
      <c r="A31">
        <v>0.57899999999999996</v>
      </c>
      <c r="B31">
        <v>0.72099999999999997</v>
      </c>
      <c r="C31">
        <v>0.57899999999999996</v>
      </c>
      <c r="D31">
        <v>0.72099999999999997</v>
      </c>
      <c r="E31">
        <v>0.65</v>
      </c>
      <c r="F31">
        <v>1.10337</v>
      </c>
      <c r="G31">
        <v>0.146976</v>
      </c>
      <c r="H31">
        <v>0.146976</v>
      </c>
      <c r="I31">
        <v>0.115481</v>
      </c>
      <c r="J31">
        <v>0.10498300000000001</v>
      </c>
      <c r="K31">
        <f t="shared" si="0"/>
        <v>0.128604</v>
      </c>
      <c r="L31">
        <f t="shared" si="1"/>
        <v>9.3715845045008322E-3</v>
      </c>
      <c r="O31">
        <v>0.65</v>
      </c>
      <c r="P31">
        <v>0.128604</v>
      </c>
      <c r="Q31">
        <v>9.3715845045008322E-3</v>
      </c>
    </row>
    <row r="32" spans="1:17" x14ac:dyDescent="0.25">
      <c r="A32">
        <v>0.72099999999999997</v>
      </c>
      <c r="B32">
        <v>0.89700000000000002</v>
      </c>
      <c r="C32">
        <v>0.72099999999999997</v>
      </c>
      <c r="D32">
        <v>0.89700000000000002</v>
      </c>
      <c r="E32">
        <v>0.80900000000000005</v>
      </c>
      <c r="F32">
        <v>0.25326199999999999</v>
      </c>
      <c r="G32">
        <v>6.3254900000000003E-2</v>
      </c>
      <c r="H32">
        <v>0.21085000000000001</v>
      </c>
      <c r="I32">
        <v>8.4339700000000004E-2</v>
      </c>
      <c r="J32">
        <v>0.12651000000000001</v>
      </c>
      <c r="K32">
        <f t="shared" si="0"/>
        <v>0.12123865</v>
      </c>
      <c r="L32">
        <f t="shared" si="1"/>
        <v>2.8263966630245406E-2</v>
      </c>
      <c r="O32">
        <v>0.80900000000000005</v>
      </c>
      <c r="P32">
        <v>0.12123865</v>
      </c>
      <c r="Q32">
        <v>2.8263966630245406E-2</v>
      </c>
    </row>
    <row r="33" spans="1:17" x14ac:dyDescent="0.25">
      <c r="A33">
        <v>0.89700000000000002</v>
      </c>
      <c r="B33">
        <v>1.117</v>
      </c>
      <c r="C33">
        <v>0.89700000000000002</v>
      </c>
      <c r="D33">
        <v>1.117</v>
      </c>
      <c r="E33">
        <v>1.0069999999999999</v>
      </c>
      <c r="F33">
        <v>0.28371299999999999</v>
      </c>
      <c r="G33">
        <v>0.157467</v>
      </c>
      <c r="H33">
        <v>0.23095199999999999</v>
      </c>
      <c r="I33">
        <v>0.31493399999999999</v>
      </c>
      <c r="J33">
        <v>0.13647200000000001</v>
      </c>
      <c r="K33">
        <f t="shared" si="0"/>
        <v>0.20995624999999998</v>
      </c>
      <c r="L33">
        <f t="shared" si="1"/>
        <v>3.5014466543085827E-2</v>
      </c>
      <c r="O33">
        <v>1.0069999999999999</v>
      </c>
      <c r="P33">
        <v>0.20995624999999998</v>
      </c>
      <c r="Q33">
        <v>3.5014466543085827E-2</v>
      </c>
    </row>
    <row r="34" spans="1:17" x14ac:dyDescent="0.25">
      <c r="A34">
        <v>1.117</v>
      </c>
      <c r="B34">
        <v>1.391</v>
      </c>
      <c r="C34">
        <v>1.117</v>
      </c>
      <c r="D34">
        <v>1.391</v>
      </c>
      <c r="E34">
        <v>1.254</v>
      </c>
      <c r="F34">
        <v>0.12607699999999999</v>
      </c>
      <c r="G34">
        <v>3.1489099999999999E-2</v>
      </c>
      <c r="H34">
        <v>4.1985500000000002E-2</v>
      </c>
      <c r="I34">
        <v>0.12595600000000001</v>
      </c>
      <c r="J34">
        <v>5.2481899999999998E-2</v>
      </c>
      <c r="K34">
        <f t="shared" si="0"/>
        <v>6.2978124999999996E-2</v>
      </c>
      <c r="L34">
        <f t="shared" si="1"/>
        <v>1.8555040552716916E-2</v>
      </c>
      <c r="O34">
        <v>1.254</v>
      </c>
      <c r="P34">
        <v>6.2978124999999996E-2</v>
      </c>
      <c r="Q34">
        <v>1.8555040552716916E-2</v>
      </c>
    </row>
    <row r="35" spans="1:17" x14ac:dyDescent="0.25">
      <c r="A35">
        <v>1.391</v>
      </c>
      <c r="B35">
        <v>1.732</v>
      </c>
      <c r="C35">
        <v>1.391</v>
      </c>
      <c r="D35">
        <v>1.732</v>
      </c>
      <c r="E35">
        <v>1.5615000000000001</v>
      </c>
      <c r="F35">
        <v>0.115635</v>
      </c>
      <c r="G35">
        <v>0.105022</v>
      </c>
      <c r="H35">
        <v>0.16803599999999999</v>
      </c>
      <c r="I35">
        <v>5.2511099999999998E-2</v>
      </c>
      <c r="J35">
        <v>0.147032</v>
      </c>
      <c r="K35">
        <f t="shared" si="0"/>
        <v>0.118150275</v>
      </c>
      <c r="L35">
        <f t="shared" si="1"/>
        <v>2.2084486207668921E-2</v>
      </c>
      <c r="O35">
        <v>1.5615000000000001</v>
      </c>
      <c r="P35">
        <v>0.118150275</v>
      </c>
      <c r="Q35">
        <v>2.2084486207668921E-2</v>
      </c>
    </row>
    <row r="36" spans="1:17" x14ac:dyDescent="0.25">
      <c r="A36">
        <v>1.732</v>
      </c>
      <c r="B36">
        <v>2.1560000000000001</v>
      </c>
      <c r="C36">
        <v>1.732</v>
      </c>
      <c r="D36">
        <v>2.1560000000000001</v>
      </c>
      <c r="E36">
        <v>1.944</v>
      </c>
      <c r="F36">
        <v>0.13683200000000001</v>
      </c>
      <c r="G36">
        <v>0.13670099999999999</v>
      </c>
      <c r="H36">
        <v>0.11567</v>
      </c>
      <c r="I36">
        <v>0.11567</v>
      </c>
      <c r="J36">
        <v>0.105155</v>
      </c>
      <c r="K36">
        <f t="shared" si="0"/>
        <v>0.118299</v>
      </c>
      <c r="L36">
        <f t="shared" si="1"/>
        <v>5.7294285382575444E-3</v>
      </c>
      <c r="O36">
        <v>1.944</v>
      </c>
      <c r="P36">
        <v>0.118299</v>
      </c>
      <c r="Q36">
        <v>5.7294285382575444E-3</v>
      </c>
    </row>
    <row r="37" spans="1:17" x14ac:dyDescent="0.25">
      <c r="A37">
        <v>2.1560000000000001</v>
      </c>
      <c r="B37">
        <v>2.6850000000000001</v>
      </c>
      <c r="C37">
        <v>2.1560000000000001</v>
      </c>
      <c r="D37">
        <v>2.6850000000000001</v>
      </c>
      <c r="E37">
        <v>2.4205000000000001</v>
      </c>
      <c r="F37">
        <v>9.4536400000000007E-2</v>
      </c>
      <c r="G37">
        <v>4.1975999999999999E-2</v>
      </c>
      <c r="H37">
        <v>0.10494000000000001</v>
      </c>
      <c r="I37">
        <v>9.4445699999999994E-2</v>
      </c>
      <c r="J37">
        <v>0</v>
      </c>
      <c r="K37">
        <f t="shared" si="0"/>
        <v>6.0340424999999996E-2</v>
      </c>
      <c r="L37">
        <f t="shared" si="1"/>
        <v>2.1110588083600817E-2</v>
      </c>
      <c r="O37">
        <v>2.4205000000000001</v>
      </c>
      <c r="P37">
        <v>6.0340424999999996E-2</v>
      </c>
      <c r="Q37">
        <v>2.1110588083600817E-2</v>
      </c>
    </row>
    <row r="38" spans="1:17" x14ac:dyDescent="0.25">
      <c r="A38">
        <v>2.6850000000000001</v>
      </c>
      <c r="B38">
        <v>3.343</v>
      </c>
      <c r="C38">
        <v>2.6850000000000001</v>
      </c>
      <c r="D38">
        <v>3.343</v>
      </c>
      <c r="E38">
        <v>3.0139999999999998</v>
      </c>
      <c r="F38">
        <v>5.25773E-2</v>
      </c>
      <c r="G38">
        <v>5.2526999999999997E-2</v>
      </c>
      <c r="H38">
        <v>3.1516200000000001E-2</v>
      </c>
      <c r="I38">
        <v>5.2526900000000001E-2</v>
      </c>
      <c r="J38">
        <v>4.2021700000000002E-2</v>
      </c>
      <c r="K38">
        <f t="shared" si="0"/>
        <v>4.4647949999999999E-2</v>
      </c>
      <c r="L38">
        <f t="shared" si="1"/>
        <v>4.3552936836251284E-3</v>
      </c>
      <c r="O38">
        <v>3.0139999999999998</v>
      </c>
      <c r="P38">
        <v>4.4647949999999999E-2</v>
      </c>
      <c r="Q38">
        <v>4.3552936836251284E-3</v>
      </c>
    </row>
    <row r="39" spans="1:17" x14ac:dyDescent="0.25">
      <c r="A39">
        <v>3.343</v>
      </c>
      <c r="B39">
        <v>4.1619999999999999</v>
      </c>
      <c r="C39">
        <v>3.343</v>
      </c>
      <c r="D39">
        <v>4.1619999999999999</v>
      </c>
      <c r="E39">
        <v>3.7524999999999999</v>
      </c>
      <c r="F39">
        <v>4.20735E-2</v>
      </c>
      <c r="G39">
        <v>2.10166E-2</v>
      </c>
      <c r="H39">
        <v>3.1524900000000002E-2</v>
      </c>
      <c r="I39">
        <v>4.2033099999999997E-2</v>
      </c>
      <c r="J39">
        <v>3.1524999999999997E-2</v>
      </c>
      <c r="K39">
        <f t="shared" si="0"/>
        <v>3.1524900000000002E-2</v>
      </c>
      <c r="L39">
        <f t="shared" si="1"/>
        <v>3.7152274168279339E-3</v>
      </c>
      <c r="O39">
        <v>3.7524999999999999</v>
      </c>
      <c r="P39">
        <v>3.1524900000000002E-2</v>
      </c>
      <c r="Q39">
        <v>3.7152274168279339E-3</v>
      </c>
    </row>
    <row r="40" spans="1:17" x14ac:dyDescent="0.25">
      <c r="A40">
        <v>4.1619999999999999</v>
      </c>
      <c r="B40">
        <v>5.1820000000000004</v>
      </c>
      <c r="C40">
        <v>4.1619999999999999</v>
      </c>
      <c r="D40">
        <v>5.1820000000000004</v>
      </c>
      <c r="E40">
        <v>4.6719999999999997</v>
      </c>
      <c r="F40">
        <v>1.0515099999999999E-2</v>
      </c>
      <c r="G40">
        <v>0</v>
      </c>
      <c r="H40">
        <v>0</v>
      </c>
      <c r="I40">
        <v>1.0505E-2</v>
      </c>
      <c r="J40">
        <v>1.05051E-2</v>
      </c>
      <c r="K40">
        <f t="shared" si="0"/>
        <v>5.2525250000000001E-3</v>
      </c>
      <c r="L40">
        <f t="shared" si="1"/>
        <v>2.626262500059495E-3</v>
      </c>
      <c r="O40">
        <v>4.6719999999999997</v>
      </c>
      <c r="P40">
        <v>5.2525250000000001E-3</v>
      </c>
      <c r="Q40">
        <v>2.626262500059495E-3</v>
      </c>
    </row>
    <row r="41" spans="1:17" x14ac:dyDescent="0.25">
      <c r="A41">
        <v>5.1820000000000004</v>
      </c>
      <c r="B41">
        <v>6.4509999999999996</v>
      </c>
      <c r="C41">
        <v>5.1820000000000004</v>
      </c>
      <c r="D41">
        <v>6.4509999999999996</v>
      </c>
      <c r="E41">
        <v>5.8164999999999996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  <c r="O41">
        <v>5.8164999999999996</v>
      </c>
      <c r="P41">
        <v>0</v>
      </c>
      <c r="Q41">
        <v>0</v>
      </c>
    </row>
    <row r="42" spans="1:17" x14ac:dyDescent="0.25">
      <c r="A42">
        <v>6.4509999999999996</v>
      </c>
      <c r="B42">
        <v>8.032</v>
      </c>
      <c r="C42">
        <v>6.4509999999999996</v>
      </c>
      <c r="D42">
        <v>8.032</v>
      </c>
      <c r="E42">
        <v>7.2415000000000003</v>
      </c>
      <c r="F42">
        <v>1.0515E-2</v>
      </c>
      <c r="G42">
        <v>0</v>
      </c>
      <c r="H42">
        <v>1.0504899999999999E-2</v>
      </c>
      <c r="I42">
        <v>1.0504899999999999E-2</v>
      </c>
      <c r="J42">
        <v>1.0504899999999999E-2</v>
      </c>
      <c r="K42">
        <f t="shared" si="0"/>
        <v>7.8786749999999999E-3</v>
      </c>
      <c r="L42">
        <f t="shared" si="1"/>
        <v>2.2743775660537865E-3</v>
      </c>
      <c r="O42">
        <v>7.2415000000000003</v>
      </c>
      <c r="P42">
        <v>7.8786749999999999E-3</v>
      </c>
      <c r="Q42">
        <v>2.2743775660537865E-3</v>
      </c>
    </row>
    <row r="43" spans="1:17" x14ac:dyDescent="0.25">
      <c r="A43">
        <v>8.032</v>
      </c>
      <c r="B43">
        <v>10</v>
      </c>
      <c r="C43">
        <v>8.032</v>
      </c>
      <c r="D43">
        <v>10</v>
      </c>
      <c r="E43">
        <v>9.016</v>
      </c>
      <c r="F43">
        <v>0</v>
      </c>
      <c r="G43">
        <v>0</v>
      </c>
      <c r="H43">
        <v>1.05071E-2</v>
      </c>
      <c r="I43">
        <v>0</v>
      </c>
      <c r="J43">
        <v>1.05072E-2</v>
      </c>
      <c r="K43">
        <f t="shared" si="0"/>
        <v>5.2535749999999999E-3</v>
      </c>
      <c r="L43">
        <f t="shared" si="1"/>
        <v>2.6267875000594832E-3</v>
      </c>
      <c r="O43">
        <v>9.016</v>
      </c>
      <c r="P43">
        <v>5.2535749999999999E-3</v>
      </c>
      <c r="Q43">
        <v>2.6267875000594832E-3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20230502_CCOPTIR_1to5um_PP_v2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Parham, Rebecca</cp:lastModifiedBy>
  <dcterms:created xsi:type="dcterms:W3CDTF">2023-06-05T15:27:37Z</dcterms:created>
  <dcterms:modified xsi:type="dcterms:W3CDTF">2023-06-05T15:30:51Z</dcterms:modified>
</cp:coreProperties>
</file>