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PS\20230602 200-9900 nm PE\"/>
    </mc:Choice>
  </mc:AlternateContent>
  <xr:revisionPtr revIDLastSave="0" documentId="13_ncr:40009_{D1130631-FA8C-41E2-A259-05646C573652}" xr6:coauthVersionLast="47" xr6:coauthVersionMax="47" xr10:uidLastSave="{00000000-0000-0000-0000-000000000000}"/>
  <bookViews>
    <workbookView xWindow="-120" yWindow="-120" windowWidth="29040" windowHeight="15840"/>
  </bookViews>
  <sheets>
    <sheet name="20230502_CCOPTIR_200to9900nm_PE" sheetId="1" r:id="rId1"/>
  </sheets>
  <calcPr calcId="0"/>
</workbook>
</file>

<file path=xl/calcChain.xml><?xml version="1.0" encoding="utf-8"?>
<calcChain xmlns="http://schemas.openxmlformats.org/spreadsheetml/2006/main">
  <c r="Q29" i="1" l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28" i="1"/>
  <c r="R26" i="1"/>
</calcChain>
</file>

<file path=xl/sharedStrings.xml><?xml version="1.0" encoding="utf-8"?>
<sst xmlns="http://schemas.openxmlformats.org/spreadsheetml/2006/main" count="73" uniqueCount="42">
  <si>
    <t>Sample File</t>
  </si>
  <si>
    <t>C:\Users\rparham\Documents\Projects\M4AM\CC-OPTIR project\OPS\20230602 200-9900 nm PE\20230502_CCOPTIR_200to9900nm_PE.O30</t>
  </si>
  <si>
    <t>Instrument Model</t>
  </si>
  <si>
    <t>Instrument Serial Number</t>
  </si>
  <si>
    <t>Sample Length (s)</t>
  </si>
  <si>
    <t>Alarm Set</t>
  </si>
  <si>
    <t>No</t>
  </si>
  <si>
    <t>Dead Time Correction Applied</t>
  </si>
  <si>
    <t>Yes</t>
  </si>
  <si>
    <t>Units</t>
  </si>
  <si>
    <t>dW/dlogDp</t>
  </si>
  <si>
    <t>Weight</t>
  </si>
  <si>
    <t>Number</t>
  </si>
  <si>
    <t>Refractive Index Applied</t>
  </si>
  <si>
    <t>Sample #</t>
  </si>
  <si>
    <t>Date</t>
  </si>
  <si>
    <t>Start Time</t>
  </si>
  <si>
    <t>Temp.(C)</t>
  </si>
  <si>
    <t>Pressure(kPa)</t>
  </si>
  <si>
    <t>Rel. Humidity</t>
  </si>
  <si>
    <t>Errors</t>
  </si>
  <si>
    <t>Filter Concentration Error</t>
  </si>
  <si>
    <t>Alarm Triggered</t>
  </si>
  <si>
    <t>NA</t>
  </si>
  <si>
    <t>Dilution Factor</t>
  </si>
  <si>
    <t>Dead Time (s)</t>
  </si>
  <si>
    <t>Median</t>
  </si>
  <si>
    <t>Mean</t>
  </si>
  <si>
    <t>Geo. Mean</t>
  </si>
  <si>
    <t>Mode</t>
  </si>
  <si>
    <t>Geo.St.Dev.</t>
  </si>
  <si>
    <t>Total Conc. (#/cm³)</t>
  </si>
  <si>
    <t>LB</t>
  </si>
  <si>
    <t>UB</t>
  </si>
  <si>
    <t>LB with RI</t>
  </si>
  <si>
    <t>UB with RI</t>
  </si>
  <si>
    <t>MPDiam</t>
  </si>
  <si>
    <t>Data</t>
  </si>
  <si>
    <t>avg of samples 2-10</t>
  </si>
  <si>
    <t>#/cm^3</t>
  </si>
  <si>
    <t>avg (2-10)</t>
  </si>
  <si>
    <t>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</si>
</sst>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topLeftCell="A13" workbookViewId="0">
      <selection activeCell="V27" sqref="V27:X43"/>
    </sheetView>
  </sheetViews>
  <sheetFormatPr defaultRowHeight="15" x14ac:dyDescent="0.25"/>
  <cols>
    <col min="17" max="17" width="22.28515625" customWidth="1"/>
  </cols>
  <sheetData>
    <row r="1" spans="1:15" x14ac:dyDescent="0.25">
      <c r="A1" t="s">
        <v>0</v>
      </c>
      <c r="B1" t="s">
        <v>1</v>
      </c>
    </row>
    <row r="2" spans="1:15" x14ac:dyDescent="0.25">
      <c r="A2" t="s">
        <v>2</v>
      </c>
      <c r="B2">
        <v>3330</v>
      </c>
    </row>
    <row r="3" spans="1:15" x14ac:dyDescent="0.25">
      <c r="A3" t="s">
        <v>3</v>
      </c>
      <c r="B3">
        <v>3330164201</v>
      </c>
    </row>
    <row r="4" spans="1:15" x14ac:dyDescent="0.25">
      <c r="A4" t="s">
        <v>4</v>
      </c>
      <c r="B4">
        <v>60</v>
      </c>
    </row>
    <row r="5" spans="1:15" x14ac:dyDescent="0.25">
      <c r="A5" t="s">
        <v>5</v>
      </c>
      <c r="B5" t="s">
        <v>6</v>
      </c>
    </row>
    <row r="6" spans="1:15" x14ac:dyDescent="0.25">
      <c r="A6" t="s">
        <v>7</v>
      </c>
      <c r="B6" t="s">
        <v>8</v>
      </c>
    </row>
    <row r="7" spans="1:15" x14ac:dyDescent="0.25">
      <c r="A7" t="s">
        <v>9</v>
      </c>
      <c r="B7" t="s">
        <v>10</v>
      </c>
    </row>
    <row r="8" spans="1:15" x14ac:dyDescent="0.25">
      <c r="A8" t="s">
        <v>11</v>
      </c>
      <c r="B8" t="s">
        <v>12</v>
      </c>
    </row>
    <row r="9" spans="1:15" x14ac:dyDescent="0.25">
      <c r="A9" t="s">
        <v>13</v>
      </c>
      <c r="B9" t="s">
        <v>6</v>
      </c>
    </row>
    <row r="11" spans="1:15" x14ac:dyDescent="0.25">
      <c r="A11" t="s">
        <v>14</v>
      </c>
      <c r="F11">
        <v>1</v>
      </c>
      <c r="G11">
        <v>2</v>
      </c>
      <c r="H11">
        <v>3</v>
      </c>
      <c r="I11">
        <v>4</v>
      </c>
      <c r="J11">
        <v>5</v>
      </c>
      <c r="K11">
        <v>6</v>
      </c>
      <c r="L11">
        <v>7</v>
      </c>
      <c r="M11">
        <v>8</v>
      </c>
      <c r="N11">
        <v>9</v>
      </c>
      <c r="O11">
        <v>10</v>
      </c>
    </row>
    <row r="12" spans="1:15" x14ac:dyDescent="0.25">
      <c r="A12" t="s">
        <v>15</v>
      </c>
      <c r="F12" s="1">
        <v>45079</v>
      </c>
      <c r="G12" s="1">
        <v>45079</v>
      </c>
      <c r="H12" s="1">
        <v>45079</v>
      </c>
      <c r="I12" s="1">
        <v>45079</v>
      </c>
      <c r="J12" s="1">
        <v>45079</v>
      </c>
      <c r="K12" s="1">
        <v>45079</v>
      </c>
      <c r="L12" s="1">
        <v>45079</v>
      </c>
      <c r="M12" s="1">
        <v>45079</v>
      </c>
      <c r="N12" s="1">
        <v>45079</v>
      </c>
      <c r="O12" s="1">
        <v>45079</v>
      </c>
    </row>
    <row r="13" spans="1:15" x14ac:dyDescent="0.25">
      <c r="A13" t="s">
        <v>16</v>
      </c>
      <c r="F13" s="2">
        <v>0.69050925925925932</v>
      </c>
      <c r="G13" s="2">
        <v>0.69120370370370365</v>
      </c>
      <c r="H13" s="2">
        <v>0.6918981481481481</v>
      </c>
      <c r="I13" s="2">
        <v>0.69259259259259265</v>
      </c>
      <c r="J13" s="2">
        <v>0.69328703703703709</v>
      </c>
      <c r="K13" s="2">
        <v>0.69398148148148142</v>
      </c>
      <c r="L13" s="2">
        <v>0.69467592592592586</v>
      </c>
      <c r="M13" s="2">
        <v>0.69537037037037042</v>
      </c>
      <c r="N13" s="2">
        <v>0.69606481481481486</v>
      </c>
      <c r="O13" s="2">
        <v>0.69677083333333334</v>
      </c>
    </row>
    <row r="14" spans="1:15" x14ac:dyDescent="0.25">
      <c r="A14" t="s">
        <v>17</v>
      </c>
      <c r="F14">
        <v>33.332999999999998</v>
      </c>
      <c r="G14">
        <v>33.332999999999998</v>
      </c>
      <c r="H14">
        <v>33.332999999999998</v>
      </c>
      <c r="I14">
        <v>33.271999999999998</v>
      </c>
      <c r="J14">
        <v>33.241999999999997</v>
      </c>
      <c r="K14">
        <v>33.180999999999997</v>
      </c>
      <c r="L14">
        <v>33.119999999999997</v>
      </c>
      <c r="M14">
        <v>33.058999999999997</v>
      </c>
      <c r="N14">
        <v>32.997999999999998</v>
      </c>
      <c r="O14">
        <v>32.936999999999998</v>
      </c>
    </row>
    <row r="15" spans="1:15" x14ac:dyDescent="0.25">
      <c r="A15" t="s">
        <v>18</v>
      </c>
      <c r="F15">
        <v>98.415999999999997</v>
      </c>
      <c r="G15">
        <v>98.415999999999997</v>
      </c>
      <c r="H15">
        <v>98.415999999999997</v>
      </c>
      <c r="I15">
        <v>98.415999999999997</v>
      </c>
      <c r="J15">
        <v>98.415999999999997</v>
      </c>
      <c r="K15">
        <v>98.415999999999997</v>
      </c>
      <c r="L15">
        <v>98.415999999999997</v>
      </c>
      <c r="M15">
        <v>98.415999999999997</v>
      </c>
      <c r="N15">
        <v>98.415999999999997</v>
      </c>
      <c r="O15">
        <v>98.415999999999997</v>
      </c>
    </row>
    <row r="16" spans="1:15" x14ac:dyDescent="0.25">
      <c r="A16" t="s">
        <v>19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24" x14ac:dyDescent="0.25">
      <c r="A17" t="s">
        <v>20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</row>
    <row r="18" spans="1:24" x14ac:dyDescent="0.25">
      <c r="A18" t="s">
        <v>22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</row>
    <row r="19" spans="1:24" x14ac:dyDescent="0.25">
      <c r="A19" t="s">
        <v>24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24" x14ac:dyDescent="0.25">
      <c r="A20" t="s">
        <v>25</v>
      </c>
      <c r="F20">
        <v>4.7905000000000003E-2</v>
      </c>
      <c r="G20">
        <v>4.7790000000000003E-3</v>
      </c>
      <c r="H20">
        <v>4.3509999999999998E-3</v>
      </c>
      <c r="I20">
        <v>4.6849999999999999E-3</v>
      </c>
      <c r="J20">
        <v>4.2290000000000001E-3</v>
      </c>
      <c r="K20">
        <v>3.5170000000000002E-3</v>
      </c>
      <c r="L20">
        <v>3.79E-3</v>
      </c>
      <c r="M20">
        <v>3.7299999999999998E-3</v>
      </c>
      <c r="N20">
        <v>3.8570000000000002E-3</v>
      </c>
      <c r="O20">
        <v>3.676E-3</v>
      </c>
    </row>
    <row r="21" spans="1:24" x14ac:dyDescent="0.25">
      <c r="A21" t="s">
        <v>26</v>
      </c>
      <c r="F21">
        <v>0.32761000000000001</v>
      </c>
      <c r="G21">
        <v>0.52961899999999995</v>
      </c>
      <c r="H21">
        <v>0.610178</v>
      </c>
      <c r="I21">
        <v>0.59748699999999999</v>
      </c>
      <c r="J21">
        <v>0.63628600000000002</v>
      </c>
      <c r="K21">
        <v>0.54406900000000002</v>
      </c>
      <c r="L21">
        <v>0.56771400000000005</v>
      </c>
      <c r="M21">
        <v>0.61717900000000003</v>
      </c>
      <c r="N21">
        <v>0.51497899999999996</v>
      </c>
      <c r="O21">
        <v>0.60452600000000001</v>
      </c>
    </row>
    <row r="22" spans="1:24" x14ac:dyDescent="0.25">
      <c r="A22" t="s">
        <v>27</v>
      </c>
      <c r="F22">
        <v>0.41445399999999999</v>
      </c>
      <c r="G22">
        <v>0.94687900000000003</v>
      </c>
      <c r="H22">
        <v>0.995479</v>
      </c>
      <c r="I22">
        <v>0.96264499999999997</v>
      </c>
      <c r="J22">
        <v>0.99744200000000005</v>
      </c>
      <c r="K22">
        <v>0.94240599999999997</v>
      </c>
      <c r="L22">
        <v>0.93905499999999997</v>
      </c>
      <c r="M22">
        <v>1.0248200000000001</v>
      </c>
      <c r="N22">
        <v>0.92314300000000005</v>
      </c>
      <c r="O22">
        <v>1.01416</v>
      </c>
    </row>
    <row r="23" spans="1:24" x14ac:dyDescent="0.25">
      <c r="A23" t="s">
        <v>28</v>
      </c>
      <c r="F23">
        <v>0.38413700000000001</v>
      </c>
      <c r="G23">
        <v>0.72187000000000001</v>
      </c>
      <c r="H23">
        <v>0.76419000000000004</v>
      </c>
      <c r="I23">
        <v>0.75183599999999995</v>
      </c>
      <c r="J23">
        <v>0.76952799999999999</v>
      </c>
      <c r="K23">
        <v>0.73373299999999997</v>
      </c>
      <c r="L23">
        <v>0.74265400000000004</v>
      </c>
      <c r="M23">
        <v>0.77641300000000002</v>
      </c>
      <c r="N23">
        <v>0.71497699999999997</v>
      </c>
      <c r="O23">
        <v>0.76098600000000005</v>
      </c>
    </row>
    <row r="24" spans="1:24" x14ac:dyDescent="0.25">
      <c r="A24" t="s">
        <v>29</v>
      </c>
      <c r="F24">
        <v>0.33700000000000002</v>
      </c>
      <c r="G24">
        <v>0.33700000000000002</v>
      </c>
      <c r="H24">
        <v>0.33700000000000002</v>
      </c>
      <c r="I24">
        <v>0.33700000000000002</v>
      </c>
      <c r="J24">
        <v>0.33700000000000002</v>
      </c>
      <c r="K24">
        <v>0.33700000000000002</v>
      </c>
      <c r="L24">
        <v>0.33700000000000002</v>
      </c>
      <c r="M24">
        <v>0.33700000000000002</v>
      </c>
      <c r="N24">
        <v>0.33700000000000002</v>
      </c>
      <c r="O24">
        <v>0.33700000000000002</v>
      </c>
    </row>
    <row r="25" spans="1:24" x14ac:dyDescent="0.25">
      <c r="A25" t="s">
        <v>30</v>
      </c>
      <c r="F25">
        <v>1.3511299999999999</v>
      </c>
      <c r="G25">
        <v>2.0236800000000001</v>
      </c>
      <c r="H25">
        <v>2.0100500000000001</v>
      </c>
      <c r="I25">
        <v>1.9718899999999999</v>
      </c>
      <c r="J25">
        <v>1.98742</v>
      </c>
      <c r="K25">
        <v>1.9792099999999999</v>
      </c>
      <c r="L25">
        <v>1.9495400000000001</v>
      </c>
      <c r="M25">
        <v>2.0300099999999999</v>
      </c>
      <c r="N25">
        <v>1.9834400000000001</v>
      </c>
      <c r="O25">
        <v>2.0468700000000002</v>
      </c>
    </row>
    <row r="26" spans="1:24" x14ac:dyDescent="0.25">
      <c r="A26" t="s">
        <v>31</v>
      </c>
      <c r="F26">
        <v>7.8772900000000003</v>
      </c>
      <c r="G26">
        <v>0.66705300000000001</v>
      </c>
      <c r="H26">
        <v>0.60404400000000003</v>
      </c>
      <c r="I26">
        <v>0.64605000000000001</v>
      </c>
      <c r="J26">
        <v>0.605043</v>
      </c>
      <c r="K26">
        <v>0.51202999999999999</v>
      </c>
      <c r="L26">
        <v>0.55103500000000005</v>
      </c>
      <c r="M26">
        <v>0.53403299999999998</v>
      </c>
      <c r="N26">
        <v>0.55003500000000005</v>
      </c>
      <c r="O26">
        <v>0.52703199999999994</v>
      </c>
      <c r="Q26" t="s">
        <v>38</v>
      </c>
      <c r="R26">
        <f>AVERAGE(G26:O26)</f>
        <v>0.57737277777777796</v>
      </c>
      <c r="S26" t="s">
        <v>39</v>
      </c>
    </row>
    <row r="27" spans="1:24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40</v>
      </c>
      <c r="Q27" t="s">
        <v>41</v>
      </c>
      <c r="V27" t="s">
        <v>36</v>
      </c>
      <c r="W27" t="s">
        <v>40</v>
      </c>
      <c r="X27" t="s">
        <v>41</v>
      </c>
    </row>
    <row r="28" spans="1:24" x14ac:dyDescent="0.25">
      <c r="A28">
        <v>0.3</v>
      </c>
      <c r="B28">
        <v>0.374</v>
      </c>
      <c r="C28">
        <v>0.3</v>
      </c>
      <c r="D28">
        <v>0.374</v>
      </c>
      <c r="E28">
        <v>0.33700000000000002</v>
      </c>
      <c r="F28">
        <v>55.1248</v>
      </c>
      <c r="G28">
        <v>1.7546999999999999</v>
      </c>
      <c r="H28">
        <v>1.31602</v>
      </c>
      <c r="I28">
        <v>1.32647</v>
      </c>
      <c r="J28">
        <v>1.1071200000000001</v>
      </c>
      <c r="K28">
        <v>1.08622</v>
      </c>
      <c r="L28">
        <v>1.1175600000000001</v>
      </c>
      <c r="M28">
        <v>1.0548900000000001</v>
      </c>
      <c r="N28">
        <v>1.3682300000000001</v>
      </c>
      <c r="O28">
        <v>1.16978</v>
      </c>
      <c r="P28">
        <f>AVERAGE(G28:O28)</f>
        <v>1.2556655555555556</v>
      </c>
      <c r="Q28">
        <f>_xlfn.STDEV.P(G28:O28)/SQRT(9)</f>
        <v>6.9201792457180292E-2</v>
      </c>
      <c r="V28">
        <v>0.33700000000000002</v>
      </c>
      <c r="W28">
        <v>1.2556655555555556</v>
      </c>
      <c r="X28">
        <v>6.9201792457180292E-2</v>
      </c>
    </row>
    <row r="29" spans="1:24" x14ac:dyDescent="0.25">
      <c r="A29">
        <v>0.374</v>
      </c>
      <c r="B29">
        <v>0.46500000000000002</v>
      </c>
      <c r="C29">
        <v>0.374</v>
      </c>
      <c r="D29">
        <v>0.46500000000000002</v>
      </c>
      <c r="E29">
        <v>0.41949999999999998</v>
      </c>
      <c r="F29">
        <v>19.607299999999999</v>
      </c>
      <c r="G29">
        <v>0.99393299999999996</v>
      </c>
      <c r="H29">
        <v>0.89876199999999995</v>
      </c>
      <c r="I29">
        <v>1.02565</v>
      </c>
      <c r="J29">
        <v>1.0890899999999999</v>
      </c>
      <c r="K29">
        <v>0.95161799999999996</v>
      </c>
      <c r="L29">
        <v>0.93047500000000005</v>
      </c>
      <c r="M29">
        <v>0.81416500000000003</v>
      </c>
      <c r="N29">
        <v>0.803593</v>
      </c>
      <c r="O29">
        <v>0.898752</v>
      </c>
      <c r="P29">
        <f t="shared" ref="P29:P43" si="0">AVERAGE(G29:O29)</f>
        <v>0.93400422222222212</v>
      </c>
      <c r="Q29">
        <f t="shared" ref="Q29:Q43" si="1">_xlfn.STDEV.P(G29:O29)/SQRT(9)</f>
        <v>2.9442969669472463E-2</v>
      </c>
      <c r="V29">
        <v>0.41949999999999998</v>
      </c>
      <c r="W29">
        <v>0.93400422222222212</v>
      </c>
      <c r="X29">
        <v>2.9442969669472463E-2</v>
      </c>
    </row>
    <row r="30" spans="1:24" x14ac:dyDescent="0.25">
      <c r="A30">
        <v>0.46500000000000002</v>
      </c>
      <c r="B30">
        <v>0.57899999999999996</v>
      </c>
      <c r="C30">
        <v>0.46500000000000002</v>
      </c>
      <c r="D30">
        <v>0.57899999999999996</v>
      </c>
      <c r="E30">
        <v>0.52200000000000002</v>
      </c>
      <c r="F30">
        <v>4.1513600000000004</v>
      </c>
      <c r="G30">
        <v>0.72465299999999999</v>
      </c>
      <c r="H30">
        <v>0.63012800000000002</v>
      </c>
      <c r="I30">
        <v>0.79816699999999996</v>
      </c>
      <c r="J30">
        <v>0.58811899999999995</v>
      </c>
      <c r="K30">
        <v>0.59861399999999998</v>
      </c>
      <c r="L30">
        <v>0.71413899999999997</v>
      </c>
      <c r="M30">
        <v>0.63012199999999996</v>
      </c>
      <c r="N30">
        <v>0.76665000000000005</v>
      </c>
      <c r="O30">
        <v>0.441085</v>
      </c>
      <c r="P30">
        <f t="shared" si="0"/>
        <v>0.65463077777777778</v>
      </c>
      <c r="Q30">
        <f t="shared" si="1"/>
        <v>3.4419319661634869E-2</v>
      </c>
      <c r="V30">
        <v>0.52200000000000002</v>
      </c>
      <c r="W30">
        <v>0.65463077777777778</v>
      </c>
      <c r="X30">
        <v>3.4419319661634869E-2</v>
      </c>
    </row>
    <row r="31" spans="1:24" x14ac:dyDescent="0.25">
      <c r="A31">
        <v>0.57899999999999996</v>
      </c>
      <c r="B31">
        <v>0.72099999999999997</v>
      </c>
      <c r="C31">
        <v>0.57899999999999996</v>
      </c>
      <c r="D31">
        <v>0.72099999999999997</v>
      </c>
      <c r="E31">
        <v>0.65</v>
      </c>
      <c r="F31">
        <v>0.79848200000000003</v>
      </c>
      <c r="G31">
        <v>0.44094899999999998</v>
      </c>
      <c r="H31">
        <v>0.47244199999999997</v>
      </c>
      <c r="I31">
        <v>0.40945199999999998</v>
      </c>
      <c r="J31">
        <v>0.44094499999999998</v>
      </c>
      <c r="K31">
        <v>0.30445800000000001</v>
      </c>
      <c r="L31">
        <v>0.36745100000000003</v>
      </c>
      <c r="M31">
        <v>0.409445</v>
      </c>
      <c r="N31">
        <v>0.367452</v>
      </c>
      <c r="O31">
        <v>0.398947</v>
      </c>
      <c r="P31">
        <f t="shared" si="0"/>
        <v>0.4012823333333333</v>
      </c>
      <c r="Q31">
        <f t="shared" si="1"/>
        <v>1.5718628638389725E-2</v>
      </c>
      <c r="V31">
        <v>0.65</v>
      </c>
      <c r="W31">
        <v>0.4012823333333333</v>
      </c>
      <c r="X31">
        <v>1.5718628638389725E-2</v>
      </c>
    </row>
    <row r="32" spans="1:24" x14ac:dyDescent="0.25">
      <c r="A32">
        <v>0.72099999999999997</v>
      </c>
      <c r="B32">
        <v>0.89700000000000002</v>
      </c>
      <c r="C32">
        <v>0.72099999999999997</v>
      </c>
      <c r="D32">
        <v>0.89700000000000002</v>
      </c>
      <c r="E32">
        <v>0.80900000000000005</v>
      </c>
      <c r="F32">
        <v>0.42202400000000001</v>
      </c>
      <c r="G32">
        <v>0.474435</v>
      </c>
      <c r="H32">
        <v>0.36900300000000003</v>
      </c>
      <c r="I32">
        <v>0.463891</v>
      </c>
      <c r="J32">
        <v>0.48497400000000002</v>
      </c>
      <c r="K32">
        <v>0.37953999999999999</v>
      </c>
      <c r="L32">
        <v>0.25302799999999998</v>
      </c>
      <c r="M32">
        <v>0.40062700000000001</v>
      </c>
      <c r="N32">
        <v>0.31628499999999998</v>
      </c>
      <c r="O32">
        <v>0.33737</v>
      </c>
      <c r="P32">
        <f t="shared" si="0"/>
        <v>0.38657255555555559</v>
      </c>
      <c r="Q32">
        <f t="shared" si="1"/>
        <v>2.462856142077852E-2</v>
      </c>
      <c r="V32">
        <v>0.80900000000000005</v>
      </c>
      <c r="W32">
        <v>0.38657255555555559</v>
      </c>
      <c r="X32">
        <v>2.462856142077852E-2</v>
      </c>
    </row>
    <row r="33" spans="1:24" x14ac:dyDescent="0.25">
      <c r="A33">
        <v>0.89700000000000002</v>
      </c>
      <c r="B33">
        <v>1.117</v>
      </c>
      <c r="C33">
        <v>0.89700000000000002</v>
      </c>
      <c r="D33">
        <v>1.117</v>
      </c>
      <c r="E33">
        <v>1.0069999999999999</v>
      </c>
      <c r="F33">
        <v>0.65136499999999997</v>
      </c>
      <c r="G33">
        <v>0.56691000000000003</v>
      </c>
      <c r="H33">
        <v>0.67188899999999996</v>
      </c>
      <c r="I33">
        <v>0.77687600000000001</v>
      </c>
      <c r="J33">
        <v>0.76637200000000005</v>
      </c>
      <c r="K33">
        <v>0.44092100000000001</v>
      </c>
      <c r="L33">
        <v>0.71387500000000004</v>
      </c>
      <c r="M33">
        <v>0.577399</v>
      </c>
      <c r="N33">
        <v>0.49341400000000002</v>
      </c>
      <c r="O33">
        <v>0.53540600000000005</v>
      </c>
      <c r="P33">
        <f t="shared" si="0"/>
        <v>0.61589577777777771</v>
      </c>
      <c r="Q33">
        <f t="shared" si="1"/>
        <v>3.8049848026100452E-2</v>
      </c>
      <c r="V33">
        <v>1.0069999999999999</v>
      </c>
      <c r="W33">
        <v>0.61589577777777771</v>
      </c>
      <c r="X33">
        <v>3.8049848026100452E-2</v>
      </c>
    </row>
    <row r="34" spans="1:24" x14ac:dyDescent="0.25">
      <c r="A34">
        <v>1.117</v>
      </c>
      <c r="B34">
        <v>1.391</v>
      </c>
      <c r="C34">
        <v>1.117</v>
      </c>
      <c r="D34">
        <v>1.391</v>
      </c>
      <c r="E34">
        <v>1.254</v>
      </c>
      <c r="F34">
        <v>0.294124</v>
      </c>
      <c r="G34">
        <v>0.36739100000000002</v>
      </c>
      <c r="H34">
        <v>0.33589799999999997</v>
      </c>
      <c r="I34">
        <v>0.33589999999999998</v>
      </c>
      <c r="J34">
        <v>0.34639399999999998</v>
      </c>
      <c r="K34">
        <v>0.28341</v>
      </c>
      <c r="L34">
        <v>0.20993400000000001</v>
      </c>
      <c r="M34">
        <v>0.26241799999999998</v>
      </c>
      <c r="N34">
        <v>0.30440499999999998</v>
      </c>
      <c r="O34">
        <v>0.35688700000000001</v>
      </c>
      <c r="P34">
        <f t="shared" si="0"/>
        <v>0.3114041111111111</v>
      </c>
      <c r="Q34">
        <f t="shared" si="1"/>
        <v>1.6161223498669251E-2</v>
      </c>
      <c r="V34">
        <v>1.254</v>
      </c>
      <c r="W34">
        <v>0.3114041111111111</v>
      </c>
      <c r="X34">
        <v>1.6161223498669251E-2</v>
      </c>
    </row>
    <row r="35" spans="1:24" x14ac:dyDescent="0.25">
      <c r="A35">
        <v>1.391</v>
      </c>
      <c r="B35">
        <v>1.732</v>
      </c>
      <c r="C35">
        <v>1.391</v>
      </c>
      <c r="D35">
        <v>1.732</v>
      </c>
      <c r="E35">
        <v>1.5615000000000001</v>
      </c>
      <c r="F35">
        <v>0.56755599999999995</v>
      </c>
      <c r="G35">
        <v>0.745695</v>
      </c>
      <c r="H35">
        <v>0.74568999999999996</v>
      </c>
      <c r="I35">
        <v>0.71418599999999999</v>
      </c>
      <c r="J35">
        <v>0.68267199999999995</v>
      </c>
      <c r="K35">
        <v>0.63015200000000005</v>
      </c>
      <c r="L35">
        <v>0.80869800000000003</v>
      </c>
      <c r="M35">
        <v>0.66166199999999997</v>
      </c>
      <c r="N35">
        <v>0.60914999999999997</v>
      </c>
      <c r="O35">
        <v>0.66166100000000005</v>
      </c>
      <c r="P35">
        <f t="shared" si="0"/>
        <v>0.69550733333333326</v>
      </c>
      <c r="Q35">
        <f t="shared" si="1"/>
        <v>1.9994708186954906E-2</v>
      </c>
      <c r="V35">
        <v>1.5615000000000001</v>
      </c>
      <c r="W35">
        <v>0.69550733333333326</v>
      </c>
      <c r="X35">
        <v>1.9994708186954906E-2</v>
      </c>
    </row>
    <row r="36" spans="1:24" x14ac:dyDescent="0.25">
      <c r="A36">
        <v>1.732</v>
      </c>
      <c r="B36">
        <v>2.1560000000000001</v>
      </c>
      <c r="C36">
        <v>1.732</v>
      </c>
      <c r="D36">
        <v>2.1560000000000001</v>
      </c>
      <c r="E36">
        <v>1.944</v>
      </c>
      <c r="F36">
        <v>0.399895</v>
      </c>
      <c r="G36">
        <v>0.43115599999999998</v>
      </c>
      <c r="H36">
        <v>0.49424800000000002</v>
      </c>
      <c r="I36">
        <v>0.494251</v>
      </c>
      <c r="J36">
        <v>0.42063600000000001</v>
      </c>
      <c r="K36">
        <v>0.36805199999999999</v>
      </c>
      <c r="L36">
        <v>0.33650600000000003</v>
      </c>
      <c r="M36">
        <v>0.36805300000000002</v>
      </c>
      <c r="N36">
        <v>0.41011700000000001</v>
      </c>
      <c r="O36">
        <v>0.37856899999999999</v>
      </c>
      <c r="P36">
        <f t="shared" si="0"/>
        <v>0.41128755555555563</v>
      </c>
      <c r="Q36">
        <f t="shared" si="1"/>
        <v>1.7444873364232148E-2</v>
      </c>
      <c r="V36">
        <v>1.944</v>
      </c>
      <c r="W36">
        <v>0.41128755555555563</v>
      </c>
      <c r="X36">
        <v>1.7444873364232148E-2</v>
      </c>
    </row>
    <row r="37" spans="1:24" x14ac:dyDescent="0.25">
      <c r="A37">
        <v>2.1560000000000001</v>
      </c>
      <c r="B37">
        <v>2.6850000000000001</v>
      </c>
      <c r="C37">
        <v>2.1560000000000001</v>
      </c>
      <c r="D37">
        <v>2.6850000000000001</v>
      </c>
      <c r="E37">
        <v>2.4205000000000001</v>
      </c>
      <c r="F37">
        <v>0.22054299999999999</v>
      </c>
      <c r="G37">
        <v>0.230879</v>
      </c>
      <c r="H37">
        <v>0.19939399999999999</v>
      </c>
      <c r="I37">
        <v>0.26236199999999998</v>
      </c>
      <c r="J37">
        <v>0.19939399999999999</v>
      </c>
      <c r="K37">
        <v>0.18889700000000001</v>
      </c>
      <c r="L37">
        <v>0.18889800000000001</v>
      </c>
      <c r="M37">
        <v>0.18889800000000001</v>
      </c>
      <c r="N37">
        <v>0.18889800000000001</v>
      </c>
      <c r="O37">
        <v>0.12593199999999999</v>
      </c>
      <c r="P37">
        <f t="shared" si="0"/>
        <v>0.19706133333333334</v>
      </c>
      <c r="Q37">
        <f t="shared" si="1"/>
        <v>1.1517379645615305E-2</v>
      </c>
      <c r="V37">
        <v>2.4205000000000001</v>
      </c>
      <c r="W37">
        <v>0.19706133333333334</v>
      </c>
      <c r="X37">
        <v>1.1517379645615305E-2</v>
      </c>
    </row>
    <row r="38" spans="1:24" x14ac:dyDescent="0.25">
      <c r="A38">
        <v>2.6850000000000001</v>
      </c>
      <c r="B38">
        <v>3.343</v>
      </c>
      <c r="C38">
        <v>2.6850000000000001</v>
      </c>
      <c r="D38">
        <v>3.343</v>
      </c>
      <c r="E38">
        <v>3.0139999999999998</v>
      </c>
      <c r="F38">
        <v>0.168216</v>
      </c>
      <c r="G38">
        <v>0.136577</v>
      </c>
      <c r="H38">
        <v>0.105058</v>
      </c>
      <c r="I38">
        <v>8.4047200000000002E-2</v>
      </c>
      <c r="J38">
        <v>8.4046499999999996E-2</v>
      </c>
      <c r="K38">
        <v>8.4045499999999995E-2</v>
      </c>
      <c r="L38">
        <v>0.105057</v>
      </c>
      <c r="M38">
        <v>7.3540099999999997E-2</v>
      </c>
      <c r="N38">
        <v>6.3034499999999993E-2</v>
      </c>
      <c r="O38">
        <v>7.3539999999999994E-2</v>
      </c>
      <c r="P38">
        <f t="shared" si="0"/>
        <v>8.9882866666666644E-2</v>
      </c>
      <c r="Q38">
        <f t="shared" si="1"/>
        <v>7.0256006453295423E-3</v>
      </c>
      <c r="V38">
        <v>3.0139999999999998</v>
      </c>
      <c r="W38">
        <v>8.9882866666666644E-2</v>
      </c>
      <c r="X38">
        <v>7.0256006453295423E-3</v>
      </c>
    </row>
    <row r="39" spans="1:24" x14ac:dyDescent="0.25">
      <c r="A39">
        <v>3.343</v>
      </c>
      <c r="B39">
        <v>4.1619999999999999</v>
      </c>
      <c r="C39">
        <v>3.343</v>
      </c>
      <c r="D39">
        <v>4.1619999999999999</v>
      </c>
      <c r="E39">
        <v>3.7524999999999999</v>
      </c>
      <c r="F39">
        <v>6.3098299999999996E-2</v>
      </c>
      <c r="G39">
        <v>8.4070599999999995E-2</v>
      </c>
      <c r="H39">
        <v>5.2543699999999999E-2</v>
      </c>
      <c r="I39">
        <v>4.2035200000000002E-2</v>
      </c>
      <c r="J39">
        <v>6.3052399999999995E-2</v>
      </c>
      <c r="K39">
        <v>3.15258E-2</v>
      </c>
      <c r="L39">
        <v>3.1525999999999998E-2</v>
      </c>
      <c r="M39">
        <v>8.4069099999999994E-2</v>
      </c>
      <c r="N39">
        <v>4.2034700000000001E-2</v>
      </c>
      <c r="O39">
        <v>6.3051800000000005E-2</v>
      </c>
      <c r="P39">
        <f t="shared" si="0"/>
        <v>5.4878811111111106E-2</v>
      </c>
      <c r="Q39">
        <f t="shared" si="1"/>
        <v>6.3478760926599783E-3</v>
      </c>
      <c r="V39">
        <v>3.7524999999999999</v>
      </c>
      <c r="W39">
        <v>5.4878811111111106E-2</v>
      </c>
      <c r="X39">
        <v>6.3478760926599783E-3</v>
      </c>
    </row>
    <row r="40" spans="1:24" x14ac:dyDescent="0.25">
      <c r="A40">
        <v>4.1619999999999999</v>
      </c>
      <c r="B40">
        <v>5.1820000000000004</v>
      </c>
      <c r="C40">
        <v>4.1619999999999999</v>
      </c>
      <c r="D40">
        <v>5.1820000000000004</v>
      </c>
      <c r="E40">
        <v>4.6719999999999997</v>
      </c>
      <c r="F40">
        <v>5.2565599999999997E-2</v>
      </c>
      <c r="G40">
        <v>4.2022200000000003E-2</v>
      </c>
      <c r="H40">
        <v>1.0505499999999999E-2</v>
      </c>
      <c r="I40">
        <v>4.20221E-2</v>
      </c>
      <c r="J40">
        <v>5.2527299999999999E-2</v>
      </c>
      <c r="K40">
        <v>2.10107E-2</v>
      </c>
      <c r="L40">
        <v>0</v>
      </c>
      <c r="M40">
        <v>2.10107E-2</v>
      </c>
      <c r="N40">
        <v>3.1516200000000001E-2</v>
      </c>
      <c r="O40">
        <v>3.1516099999999998E-2</v>
      </c>
      <c r="P40">
        <f t="shared" si="0"/>
        <v>2.8014533333333331E-2</v>
      </c>
      <c r="Q40">
        <f t="shared" si="1"/>
        <v>5.2202274044170884E-3</v>
      </c>
      <c r="V40">
        <v>4.6719999999999997</v>
      </c>
      <c r="W40">
        <v>2.8014533333333331E-2</v>
      </c>
      <c r="X40">
        <v>5.2202274044170884E-3</v>
      </c>
    </row>
    <row r="41" spans="1:24" x14ac:dyDescent="0.25">
      <c r="A41">
        <v>5.1820000000000004</v>
      </c>
      <c r="B41">
        <v>6.4509999999999996</v>
      </c>
      <c r="C41">
        <v>5.1820000000000004</v>
      </c>
      <c r="D41">
        <v>6.4509999999999996</v>
      </c>
      <c r="E41">
        <v>5.8164999999999996</v>
      </c>
      <c r="F41">
        <v>2.1040699999999999E-2</v>
      </c>
      <c r="G41">
        <v>1.0512799999999999E-2</v>
      </c>
      <c r="H41">
        <v>2.1025499999999999E-2</v>
      </c>
      <c r="I41">
        <v>0</v>
      </c>
      <c r="J41">
        <v>2.10254E-2</v>
      </c>
      <c r="K41">
        <v>1.05126E-2</v>
      </c>
      <c r="L41">
        <v>1.05126E-2</v>
      </c>
      <c r="M41">
        <v>5.2563100000000001E-2</v>
      </c>
      <c r="N41">
        <v>1.05126E-2</v>
      </c>
      <c r="O41">
        <v>4.2050499999999998E-2</v>
      </c>
      <c r="P41">
        <f t="shared" si="0"/>
        <v>1.9857233333333332E-2</v>
      </c>
      <c r="Q41">
        <f t="shared" si="1"/>
        <v>5.3385841357118345E-3</v>
      </c>
      <c r="V41">
        <v>5.8164999999999996</v>
      </c>
      <c r="W41">
        <v>1.9857233333333332E-2</v>
      </c>
      <c r="X41">
        <v>5.3385841357118345E-3</v>
      </c>
    </row>
    <row r="42" spans="1:24" x14ac:dyDescent="0.25">
      <c r="A42">
        <v>6.4509999999999996</v>
      </c>
      <c r="B42">
        <v>8.032</v>
      </c>
      <c r="C42">
        <v>6.4509999999999996</v>
      </c>
      <c r="D42">
        <v>8.032</v>
      </c>
      <c r="E42">
        <v>7.2415000000000003</v>
      </c>
      <c r="F42">
        <v>1.0513E-2</v>
      </c>
      <c r="G42">
        <v>0</v>
      </c>
      <c r="H42">
        <v>1.05053E-2</v>
      </c>
      <c r="I42">
        <v>1.05054E-2</v>
      </c>
      <c r="J42">
        <v>0</v>
      </c>
      <c r="K42">
        <v>0</v>
      </c>
      <c r="L42">
        <v>0</v>
      </c>
      <c r="M42">
        <v>1.0505199999999999E-2</v>
      </c>
      <c r="N42">
        <v>0</v>
      </c>
      <c r="O42">
        <v>1.0505199999999999E-2</v>
      </c>
      <c r="P42">
        <f t="shared" si="0"/>
        <v>4.6690111111111106E-3</v>
      </c>
      <c r="Q42">
        <f t="shared" si="1"/>
        <v>1.7400377054552685E-3</v>
      </c>
      <c r="V42">
        <v>7.2415000000000003</v>
      </c>
      <c r="W42">
        <v>4.6690111111111106E-3</v>
      </c>
      <c r="X42">
        <v>1.7400377054552685E-3</v>
      </c>
    </row>
    <row r="43" spans="1:24" x14ac:dyDescent="0.25">
      <c r="A43">
        <v>8.032</v>
      </c>
      <c r="B43">
        <v>10</v>
      </c>
      <c r="C43">
        <v>8.032</v>
      </c>
      <c r="D43">
        <v>10</v>
      </c>
      <c r="E43">
        <v>9.016</v>
      </c>
      <c r="F43">
        <v>0</v>
      </c>
      <c r="G43">
        <v>0</v>
      </c>
      <c r="H43">
        <v>1.0507600000000001E-2</v>
      </c>
      <c r="I43">
        <v>0</v>
      </c>
      <c r="J43">
        <v>1.0507600000000001E-2</v>
      </c>
      <c r="K43">
        <v>0</v>
      </c>
      <c r="L43">
        <v>0</v>
      </c>
      <c r="M43">
        <v>0</v>
      </c>
      <c r="N43">
        <v>0</v>
      </c>
      <c r="O43">
        <v>1.0507499999999999E-2</v>
      </c>
      <c r="P43">
        <f t="shared" si="0"/>
        <v>3.5025222222222225E-3</v>
      </c>
      <c r="Q43">
        <f t="shared" si="1"/>
        <v>1.6511048097515302E-3</v>
      </c>
      <c r="V43">
        <v>9.016</v>
      </c>
      <c r="W43">
        <v>3.5025222222222225E-3</v>
      </c>
      <c r="X43">
        <v>1.6511048097515302E-3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20230502_CCOPTIR_200to9900nm_PE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Parham, Rebecca</cp:lastModifiedBy>
  <dcterms:created xsi:type="dcterms:W3CDTF">2023-06-05T15:19:06Z</dcterms:created>
  <dcterms:modified xsi:type="dcterms:W3CDTF">2023-06-05T15:31:03Z</dcterms:modified>
</cp:coreProperties>
</file>