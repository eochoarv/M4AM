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Reference library\20230919 PET fibers MPS stg 2\Data\Processed\APS\"/>
    </mc:Choice>
  </mc:AlternateContent>
  <xr:revisionPtr revIDLastSave="0" documentId="13_ncr:1_{9C90CC4E-D989-4B88-8FB5-38D4C150A70D}" xr6:coauthVersionLast="47" xr6:coauthVersionMax="47" xr10:uidLastSave="{00000000-0000-0000-0000-000000000000}"/>
  <bookViews>
    <workbookView xWindow="2100" yWindow="1095" windowWidth="21600" windowHeight="11385" xr2:uid="{C30C23EE-CA19-4E83-B3FB-67B0FC125E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3" i="1" l="1"/>
  <c r="R63" i="1" l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M63" i="1"/>
  <c r="L63" i="1"/>
  <c r="K63" i="1"/>
  <c r="J63" i="1"/>
  <c r="I63" i="1"/>
  <c r="H63" i="1"/>
  <c r="G63" i="1"/>
  <c r="F63" i="1"/>
  <c r="E63" i="1"/>
  <c r="D63" i="1"/>
  <c r="C63" i="1"/>
  <c r="B63" i="1"/>
</calcChain>
</file>

<file path=xl/sharedStrings.xml><?xml version="1.0" encoding="utf-8"?>
<sst xmlns="http://schemas.openxmlformats.org/spreadsheetml/2006/main" count="67" uniqueCount="46">
  <si>
    <t>Sample File</t>
  </si>
  <si>
    <t>C:\Users\rparham\Documents\Projects\M4AM\CC-OPTIR project\Reference library\20230919 PET fibers MPS stg 2\Data\Raw\APS\20230919_PETfibers_APS.A21</t>
  </si>
  <si>
    <t>Sample Time</t>
  </si>
  <si>
    <t>Density</t>
  </si>
  <si>
    <t>Stokes Correction</t>
  </si>
  <si>
    <t>off</t>
  </si>
  <si>
    <t>Lower Channel Bound</t>
  </si>
  <si>
    <t>Upper Channel Bound</t>
  </si>
  <si>
    <t>Sample #</t>
  </si>
  <si>
    <t>Date</t>
  </si>
  <si>
    <t>Start Time</t>
  </si>
  <si>
    <t>Aerodynamic Diameter</t>
  </si>
  <si>
    <t>dN/dlogDp</t>
  </si>
  <si>
    <t>Event 1</t>
  </si>
  <si>
    <t>Event 3</t>
  </si>
  <si>
    <t>Event 4</t>
  </si>
  <si>
    <t>Dead Time</t>
  </si>
  <si>
    <t>Inlet Pressure</t>
  </si>
  <si>
    <t>Total Flow</t>
  </si>
  <si>
    <t>Sheath Flow</t>
  </si>
  <si>
    <t>Analog Input Voltage 0</t>
  </si>
  <si>
    <t>Analog Input Voltage 1</t>
  </si>
  <si>
    <t>Digital Input Level 0</t>
  </si>
  <si>
    <t>Digital Input Level 1</t>
  </si>
  <si>
    <t>Digital Input Level 2</t>
  </si>
  <si>
    <t>Laser Power</t>
  </si>
  <si>
    <t>Laser Current</t>
  </si>
  <si>
    <t>Sheath Pump Voltage</t>
  </si>
  <si>
    <t>Total Pump Voltage</t>
  </si>
  <si>
    <t>Box Temperature</t>
  </si>
  <si>
    <t>Avalanch Photo Diode Temperature</t>
  </si>
  <si>
    <t>Avalanch Photo Diode Voltage</t>
  </si>
  <si>
    <t>Status Flags</t>
  </si>
  <si>
    <t>0000 0000 0000 0010</t>
  </si>
  <si>
    <t>0000 0000 0000 0000</t>
  </si>
  <si>
    <t>Median(µm)</t>
  </si>
  <si>
    <t>Mean(µm)</t>
  </si>
  <si>
    <t>Geo. Mean(µm)</t>
  </si>
  <si>
    <t>Mode(µm)</t>
  </si>
  <si>
    <t>Geo. Std. Dev.</t>
  </si>
  <si>
    <t>Total Conc.(#/cm³)</t>
  </si>
  <si>
    <t>Total num. conc. (1.037-9.647 um)</t>
  </si>
  <si>
    <t>Avg. dN/dlogDp</t>
  </si>
  <si>
    <t>SE dN/dlogDp</t>
  </si>
  <si>
    <t>Average total num. conc. (1.037-9.647 um)</t>
  </si>
  <si>
    <t>SE total num. conc. (1.037-9.647 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</si>
</sst>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616CC-285F-46E4-AEDB-D7930BBA7D91}">
  <dimension ref="A1:R91"/>
  <sheetViews>
    <sheetView tabSelected="1" topLeftCell="A55" workbookViewId="0">
      <selection activeCell="O65" sqref="O65"/>
    </sheetView>
  </sheetViews>
  <sheetFormatPr defaultRowHeight="15" x14ac:dyDescent="0.25"/>
  <cols>
    <col min="1" max="1" width="14.42578125" customWidth="1"/>
    <col min="15" max="15" width="14.28515625" customWidth="1"/>
    <col min="17" max="17" width="13.7109375" customWidth="1"/>
  </cols>
  <sheetData>
    <row r="1" spans="1:16" x14ac:dyDescent="0.25">
      <c r="A1" t="s">
        <v>0</v>
      </c>
      <c r="B1" t="s">
        <v>1</v>
      </c>
    </row>
    <row r="2" spans="1:16" x14ac:dyDescent="0.25">
      <c r="A2" t="s">
        <v>2</v>
      </c>
      <c r="B2">
        <v>55</v>
      </c>
    </row>
    <row r="3" spans="1:16" x14ac:dyDescent="0.25">
      <c r="A3" t="s">
        <v>3</v>
      </c>
      <c r="B3">
        <v>1</v>
      </c>
    </row>
    <row r="4" spans="1:16" x14ac:dyDescent="0.25">
      <c r="A4" t="s">
        <v>4</v>
      </c>
      <c r="B4" t="s">
        <v>5</v>
      </c>
    </row>
    <row r="5" spans="1:16" x14ac:dyDescent="0.25">
      <c r="A5" t="s">
        <v>6</v>
      </c>
      <c r="B5">
        <v>0.48696800000000001</v>
      </c>
    </row>
    <row r="6" spans="1:16" x14ac:dyDescent="0.25">
      <c r="A6" t="s">
        <v>7</v>
      </c>
      <c r="B6">
        <v>20.535299999999999</v>
      </c>
    </row>
    <row r="7" spans="1:16" x14ac:dyDescent="0.25">
      <c r="A7" t="s">
        <v>8</v>
      </c>
      <c r="B7">
        <v>1</v>
      </c>
      <c r="C7">
        <v>2</v>
      </c>
      <c r="D7">
        <v>3</v>
      </c>
      <c r="E7">
        <v>4</v>
      </c>
      <c r="F7">
        <v>5</v>
      </c>
      <c r="G7">
        <v>6</v>
      </c>
      <c r="H7">
        <v>7</v>
      </c>
      <c r="I7">
        <v>8</v>
      </c>
      <c r="J7">
        <v>9</v>
      </c>
      <c r="K7">
        <v>10</v>
      </c>
      <c r="L7">
        <v>11</v>
      </c>
      <c r="M7">
        <v>12</v>
      </c>
    </row>
    <row r="8" spans="1:16" x14ac:dyDescent="0.25">
      <c r="A8" t="s">
        <v>9</v>
      </c>
      <c r="B8" s="1">
        <v>45188</v>
      </c>
      <c r="C8" s="1">
        <v>45188</v>
      </c>
      <c r="D8" s="1">
        <v>45188</v>
      </c>
      <c r="E8" s="1">
        <v>45188</v>
      </c>
      <c r="F8" s="1">
        <v>45188</v>
      </c>
      <c r="G8" s="1">
        <v>45188</v>
      </c>
      <c r="H8" s="1">
        <v>45188</v>
      </c>
      <c r="I8" s="1">
        <v>45188</v>
      </c>
      <c r="J8" s="1">
        <v>45188</v>
      </c>
      <c r="K8" s="1">
        <v>45188</v>
      </c>
      <c r="L8" s="1">
        <v>45188</v>
      </c>
      <c r="M8" s="1">
        <v>45188</v>
      </c>
    </row>
    <row r="9" spans="1:16" x14ac:dyDescent="0.25">
      <c r="A9" t="s">
        <v>10</v>
      </c>
      <c r="B9" s="2">
        <v>0.69136574074074064</v>
      </c>
      <c r="C9" s="2">
        <v>0.69206018518518519</v>
      </c>
      <c r="D9" s="2">
        <v>0.69276620370370379</v>
      </c>
      <c r="E9" s="2">
        <v>0.69344907407407408</v>
      </c>
      <c r="F9" s="2">
        <v>0.69414351851851863</v>
      </c>
      <c r="G9" s="2">
        <v>0.69483796296296296</v>
      </c>
      <c r="H9" s="2">
        <v>0.69554398148148155</v>
      </c>
      <c r="I9" s="2">
        <v>0.69623842592592589</v>
      </c>
      <c r="J9" s="2">
        <v>0.6969212962962964</v>
      </c>
      <c r="K9" s="2">
        <v>0.69761574074074073</v>
      </c>
      <c r="L9" s="2">
        <v>0.69831018518518517</v>
      </c>
      <c r="M9" s="2">
        <v>0.69901620370370365</v>
      </c>
    </row>
    <row r="10" spans="1:16" x14ac:dyDescent="0.25">
      <c r="A10" t="s">
        <v>11</v>
      </c>
      <c r="B10" t="s">
        <v>12</v>
      </c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 t="s">
        <v>12</v>
      </c>
      <c r="M10" t="s">
        <v>12</v>
      </c>
      <c r="O10" t="s">
        <v>42</v>
      </c>
      <c r="P10" t="s">
        <v>43</v>
      </c>
    </row>
    <row r="11" spans="1:16" x14ac:dyDescent="0.25">
      <c r="A11">
        <v>0.52300000000000002</v>
      </c>
      <c r="B11">
        <v>870.18299999999999</v>
      </c>
      <c r="C11">
        <v>727.43399999999997</v>
      </c>
      <c r="D11">
        <v>677.10900000000004</v>
      </c>
      <c r="E11">
        <v>646.89200000000005</v>
      </c>
      <c r="F11">
        <v>638.14700000000005</v>
      </c>
      <c r="G11">
        <v>699.04899999999998</v>
      </c>
      <c r="H11">
        <v>668.34699999999998</v>
      </c>
      <c r="I11">
        <v>676.79100000000005</v>
      </c>
      <c r="J11">
        <v>711.64300000000003</v>
      </c>
      <c r="K11">
        <v>669.68299999999999</v>
      </c>
      <c r="L11">
        <v>632.38300000000004</v>
      </c>
      <c r="M11">
        <v>641.30600000000004</v>
      </c>
      <c r="O11">
        <f>AVERAGE(D11:M11)</f>
        <v>666.13499999999999</v>
      </c>
      <c r="P11">
        <f>_xlfn.STDEV.P(D11:M11)/SQRT(10)</f>
        <v>7.9467399970050572</v>
      </c>
    </row>
    <row r="12" spans="1:16" x14ac:dyDescent="0.25">
      <c r="A12">
        <v>0.54200000000000004</v>
      </c>
      <c r="B12">
        <v>803.83600000000001</v>
      </c>
      <c r="C12">
        <v>644.09500000000003</v>
      </c>
      <c r="D12">
        <v>569.84500000000003</v>
      </c>
      <c r="E12">
        <v>519.12300000000005</v>
      </c>
      <c r="F12">
        <v>475.13799999999998</v>
      </c>
      <c r="G12">
        <v>498.911</v>
      </c>
      <c r="H12">
        <v>437.29700000000003</v>
      </c>
      <c r="I12">
        <v>432.48</v>
      </c>
      <c r="J12">
        <v>423.858</v>
      </c>
      <c r="K12">
        <v>356.62400000000002</v>
      </c>
      <c r="L12">
        <v>320.38900000000001</v>
      </c>
      <c r="M12">
        <v>306.04199999999997</v>
      </c>
      <c r="O12">
        <f t="shared" ref="O12:O62" si="0">AVERAGE(D12:M12)</f>
        <v>433.97070000000002</v>
      </c>
      <c r="P12">
        <f t="shared" ref="P12:P62" si="1">_xlfn.STDEV.P(D12:M12)/SQRT(10)</f>
        <v>25.882300664372895</v>
      </c>
    </row>
    <row r="13" spans="1:16" x14ac:dyDescent="0.25">
      <c r="A13">
        <v>0.58299999999999996</v>
      </c>
      <c r="B13">
        <v>703.26400000000001</v>
      </c>
      <c r="C13">
        <v>570.68200000000002</v>
      </c>
      <c r="D13">
        <v>498.387</v>
      </c>
      <c r="E13">
        <v>452.90100000000001</v>
      </c>
      <c r="F13">
        <v>408.07900000000001</v>
      </c>
      <c r="G13">
        <v>423.928</v>
      </c>
      <c r="H13">
        <v>380.67599999999999</v>
      </c>
      <c r="I13">
        <v>363.29199999999997</v>
      </c>
      <c r="J13">
        <v>355.19299999999998</v>
      </c>
      <c r="K13">
        <v>292.56700000000001</v>
      </c>
      <c r="L13">
        <v>265.02499999999998</v>
      </c>
      <c r="M13">
        <v>253.29499999999999</v>
      </c>
      <c r="O13">
        <f t="shared" si="0"/>
        <v>369.33430000000004</v>
      </c>
      <c r="P13">
        <f t="shared" si="1"/>
        <v>24.232932975209525</v>
      </c>
    </row>
    <row r="14" spans="1:16" x14ac:dyDescent="0.25">
      <c r="A14">
        <v>0.626</v>
      </c>
      <c r="B14">
        <v>644.89800000000002</v>
      </c>
      <c r="C14">
        <v>517.51700000000005</v>
      </c>
      <c r="D14">
        <v>441.94</v>
      </c>
      <c r="E14">
        <v>399.596</v>
      </c>
      <c r="F14">
        <v>356.93799999999999</v>
      </c>
      <c r="G14">
        <v>373.93900000000002</v>
      </c>
      <c r="H14">
        <v>335.19</v>
      </c>
      <c r="I14">
        <v>316.79399999999998</v>
      </c>
      <c r="J14">
        <v>316.72399999999999</v>
      </c>
      <c r="K14">
        <v>258.14800000000002</v>
      </c>
      <c r="L14">
        <v>230.88399999999999</v>
      </c>
      <c r="M14">
        <v>215.071</v>
      </c>
      <c r="O14">
        <f t="shared" si="0"/>
        <v>324.52240000000006</v>
      </c>
      <c r="P14">
        <f t="shared" si="1"/>
        <v>21.978027772391119</v>
      </c>
    </row>
    <row r="15" spans="1:16" x14ac:dyDescent="0.25">
      <c r="A15">
        <v>0.67300000000000004</v>
      </c>
      <c r="B15">
        <v>567.85500000000002</v>
      </c>
      <c r="C15">
        <v>439.07799999999997</v>
      </c>
      <c r="D15">
        <v>384.51600000000002</v>
      </c>
      <c r="E15">
        <v>343.60300000000001</v>
      </c>
      <c r="F15">
        <v>307.71699999999998</v>
      </c>
      <c r="G15">
        <v>323.63600000000002</v>
      </c>
      <c r="H15">
        <v>286.31900000000002</v>
      </c>
      <c r="I15">
        <v>282.37400000000002</v>
      </c>
      <c r="J15">
        <v>275.637</v>
      </c>
      <c r="K15">
        <v>229.31299999999999</v>
      </c>
      <c r="L15">
        <v>198.28</v>
      </c>
      <c r="M15">
        <v>192.17099999999999</v>
      </c>
      <c r="O15">
        <f t="shared" si="0"/>
        <v>282.35660000000001</v>
      </c>
      <c r="P15">
        <f t="shared" si="1"/>
        <v>18.604192492661422</v>
      </c>
    </row>
    <row r="16" spans="1:16" x14ac:dyDescent="0.25">
      <c r="A16">
        <v>0.72299999999999998</v>
      </c>
      <c r="B16">
        <v>504.67099999999999</v>
      </c>
      <c r="C16">
        <v>392.33499999999998</v>
      </c>
      <c r="D16">
        <v>346.291</v>
      </c>
      <c r="E16">
        <v>299.37400000000002</v>
      </c>
      <c r="F16">
        <v>269.59800000000001</v>
      </c>
      <c r="G16">
        <v>294.31299999999999</v>
      </c>
      <c r="H16">
        <v>259.3</v>
      </c>
      <c r="I16">
        <v>254.69200000000001</v>
      </c>
      <c r="J16">
        <v>253.4</v>
      </c>
      <c r="K16">
        <v>208.613</v>
      </c>
      <c r="L16">
        <v>186.30600000000001</v>
      </c>
      <c r="M16">
        <v>176.77600000000001</v>
      </c>
      <c r="O16">
        <f t="shared" si="0"/>
        <v>254.8663</v>
      </c>
      <c r="P16">
        <f t="shared" si="1"/>
        <v>15.834232478431037</v>
      </c>
    </row>
    <row r="17" spans="1:16" x14ac:dyDescent="0.25">
      <c r="A17">
        <v>0.77700000000000002</v>
      </c>
      <c r="B17">
        <v>443.79</v>
      </c>
      <c r="C17">
        <v>347.40800000000002</v>
      </c>
      <c r="D17">
        <v>303.84300000000002</v>
      </c>
      <c r="E17">
        <v>259.96300000000002</v>
      </c>
      <c r="F17">
        <v>243.346</v>
      </c>
      <c r="G17">
        <v>264.64100000000002</v>
      </c>
      <c r="H17">
        <v>225.15899999999999</v>
      </c>
      <c r="I17">
        <v>217.06</v>
      </c>
      <c r="J17">
        <v>214.19800000000001</v>
      </c>
      <c r="K17">
        <v>168.852</v>
      </c>
      <c r="L17">
        <v>149.792</v>
      </c>
      <c r="M17">
        <v>143.29900000000001</v>
      </c>
      <c r="O17">
        <f t="shared" si="0"/>
        <v>219.01530000000002</v>
      </c>
      <c r="P17">
        <f t="shared" si="1"/>
        <v>15.700985614954199</v>
      </c>
    </row>
    <row r="18" spans="1:16" x14ac:dyDescent="0.25">
      <c r="A18">
        <v>0.83499999999999996</v>
      </c>
      <c r="B18">
        <v>365.24700000000001</v>
      </c>
      <c r="C18">
        <v>292.18299999999999</v>
      </c>
      <c r="D18">
        <v>252.77199999999999</v>
      </c>
      <c r="E18">
        <v>217.2</v>
      </c>
      <c r="F18">
        <v>193.81100000000001</v>
      </c>
      <c r="G18">
        <v>212.452</v>
      </c>
      <c r="H18">
        <v>182.36099999999999</v>
      </c>
      <c r="I18">
        <v>173.565</v>
      </c>
      <c r="J18">
        <v>173.32</v>
      </c>
      <c r="K18">
        <v>134.22300000000001</v>
      </c>
      <c r="L18">
        <v>118.898</v>
      </c>
      <c r="M18">
        <v>112.3</v>
      </c>
      <c r="O18">
        <f t="shared" si="0"/>
        <v>177.09019999999998</v>
      </c>
      <c r="P18">
        <f t="shared" si="1"/>
        <v>13.543520490478109</v>
      </c>
    </row>
    <row r="19" spans="1:16" x14ac:dyDescent="0.25">
      <c r="A19">
        <v>0.89800000000000002</v>
      </c>
      <c r="B19">
        <v>277.59199999999998</v>
      </c>
      <c r="C19">
        <v>222.36600000000001</v>
      </c>
      <c r="D19">
        <v>188.715</v>
      </c>
      <c r="E19">
        <v>164.83699999999999</v>
      </c>
      <c r="F19">
        <v>139.459</v>
      </c>
      <c r="G19">
        <v>161.696</v>
      </c>
      <c r="H19">
        <v>138.02799999999999</v>
      </c>
      <c r="I19">
        <v>136.946</v>
      </c>
      <c r="J19">
        <v>130.41800000000001</v>
      </c>
      <c r="K19">
        <v>99.977599999999995</v>
      </c>
      <c r="L19">
        <v>86.433199999999999</v>
      </c>
      <c r="M19">
        <v>83.85</v>
      </c>
      <c r="O19">
        <f t="shared" si="0"/>
        <v>133.03598</v>
      </c>
      <c r="P19">
        <f t="shared" si="1"/>
        <v>10.346549489272272</v>
      </c>
    </row>
    <row r="20" spans="1:16" x14ac:dyDescent="0.25">
      <c r="A20">
        <v>0.96499999999999997</v>
      </c>
      <c r="B20">
        <v>207.18100000000001</v>
      </c>
      <c r="C20">
        <v>168.04900000000001</v>
      </c>
      <c r="D20">
        <v>148.04599999999999</v>
      </c>
      <c r="E20">
        <v>120.643</v>
      </c>
      <c r="F20">
        <v>101.758</v>
      </c>
      <c r="G20">
        <v>119.422</v>
      </c>
      <c r="H20">
        <v>105.004</v>
      </c>
      <c r="I20">
        <v>99.0351</v>
      </c>
      <c r="J20">
        <v>94.113</v>
      </c>
      <c r="K20">
        <v>77.217399999999998</v>
      </c>
      <c r="L20">
        <v>63.219099999999997</v>
      </c>
      <c r="M20">
        <v>60.286799999999999</v>
      </c>
      <c r="O20">
        <f t="shared" si="0"/>
        <v>98.874439999999993</v>
      </c>
      <c r="P20">
        <f t="shared" si="1"/>
        <v>8.1313190188824827</v>
      </c>
    </row>
    <row r="21" spans="1:16" x14ac:dyDescent="0.25">
      <c r="A21">
        <v>1.0369999999999999</v>
      </c>
      <c r="B21">
        <v>153.77099999999999</v>
      </c>
      <c r="C21">
        <v>124.937</v>
      </c>
      <c r="D21">
        <v>105.49299999999999</v>
      </c>
      <c r="E21">
        <v>89.156000000000006</v>
      </c>
      <c r="F21">
        <v>74.145399999999995</v>
      </c>
      <c r="G21">
        <v>85.176500000000004</v>
      </c>
      <c r="H21">
        <v>76.519199999999998</v>
      </c>
      <c r="I21">
        <v>73.5869</v>
      </c>
      <c r="J21">
        <v>67.652500000000003</v>
      </c>
      <c r="K21">
        <v>53.34</v>
      </c>
      <c r="L21">
        <v>43.2515</v>
      </c>
      <c r="M21">
        <v>41.122100000000003</v>
      </c>
      <c r="O21">
        <f t="shared" si="0"/>
        <v>70.944310000000002</v>
      </c>
      <c r="P21">
        <f t="shared" si="1"/>
        <v>6.1262926813930418</v>
      </c>
    </row>
    <row r="22" spans="1:16" x14ac:dyDescent="0.25">
      <c r="A22">
        <v>1.1140000000000001</v>
      </c>
      <c r="B22">
        <v>111.32299999999999</v>
      </c>
      <c r="C22">
        <v>88.143699999999995</v>
      </c>
      <c r="D22">
        <v>71.527299999999997</v>
      </c>
      <c r="E22">
        <v>62.381300000000003</v>
      </c>
      <c r="F22">
        <v>51.734200000000001</v>
      </c>
      <c r="G22">
        <v>58.331899999999997</v>
      </c>
      <c r="H22">
        <v>53.130600000000001</v>
      </c>
      <c r="I22">
        <v>50.163400000000003</v>
      </c>
      <c r="J22">
        <v>48.383000000000003</v>
      </c>
      <c r="K22">
        <v>36.025500000000001</v>
      </c>
      <c r="L22">
        <v>29.9863</v>
      </c>
      <c r="M22">
        <v>29.846699999999998</v>
      </c>
      <c r="O22">
        <f t="shared" si="0"/>
        <v>49.151020000000003</v>
      </c>
      <c r="P22">
        <f t="shared" si="1"/>
        <v>4.1187060535755604</v>
      </c>
    </row>
    <row r="23" spans="1:16" x14ac:dyDescent="0.25">
      <c r="A23">
        <v>1.1970000000000001</v>
      </c>
      <c r="B23">
        <v>84.548100000000005</v>
      </c>
      <c r="C23">
        <v>62.485999999999997</v>
      </c>
      <c r="D23">
        <v>53.863700000000001</v>
      </c>
      <c r="E23">
        <v>45.660200000000003</v>
      </c>
      <c r="F23">
        <v>35.501800000000003</v>
      </c>
      <c r="G23">
        <v>42.5184</v>
      </c>
      <c r="H23">
        <v>38.608699999999999</v>
      </c>
      <c r="I23">
        <v>35.117800000000003</v>
      </c>
      <c r="J23">
        <v>34.629100000000001</v>
      </c>
      <c r="K23">
        <v>24.331199999999999</v>
      </c>
      <c r="L23">
        <v>21.049800000000001</v>
      </c>
      <c r="M23">
        <v>20.735600000000002</v>
      </c>
      <c r="O23">
        <f t="shared" si="0"/>
        <v>35.201630000000002</v>
      </c>
      <c r="P23">
        <f t="shared" si="1"/>
        <v>3.2418039378423211</v>
      </c>
    </row>
    <row r="24" spans="1:16" x14ac:dyDescent="0.25">
      <c r="A24">
        <v>1.286</v>
      </c>
      <c r="B24">
        <v>56.900700000000001</v>
      </c>
      <c r="C24">
        <v>43.879899999999999</v>
      </c>
      <c r="D24">
        <v>38.085099999999997</v>
      </c>
      <c r="E24">
        <v>30.509899999999998</v>
      </c>
      <c r="F24">
        <v>24.854800000000001</v>
      </c>
      <c r="G24">
        <v>29.113600000000002</v>
      </c>
      <c r="H24">
        <v>26.600200000000001</v>
      </c>
      <c r="I24">
        <v>22.376300000000001</v>
      </c>
      <c r="J24">
        <v>23.283899999999999</v>
      </c>
      <c r="K24">
        <v>17.524000000000001</v>
      </c>
      <c r="L24">
        <v>14.696400000000001</v>
      </c>
      <c r="M24">
        <v>14.487</v>
      </c>
      <c r="O24">
        <f t="shared" si="0"/>
        <v>24.153119999999998</v>
      </c>
      <c r="P24">
        <f t="shared" si="1"/>
        <v>2.2278171594096334</v>
      </c>
    </row>
    <row r="25" spans="1:16" x14ac:dyDescent="0.25">
      <c r="A25">
        <v>1.3819999999999999</v>
      </c>
      <c r="B25">
        <v>40.039900000000003</v>
      </c>
      <c r="C25">
        <v>30.0212</v>
      </c>
      <c r="D25">
        <v>26.076599999999999</v>
      </c>
      <c r="E25">
        <v>20.840299999999999</v>
      </c>
      <c r="F25">
        <v>16.023</v>
      </c>
      <c r="G25">
        <v>19.932700000000001</v>
      </c>
      <c r="H25">
        <v>19.094899999999999</v>
      </c>
      <c r="I25">
        <v>16.302199999999999</v>
      </c>
      <c r="J25">
        <v>15.464399999999999</v>
      </c>
      <c r="K25">
        <v>10.926299999999999</v>
      </c>
      <c r="L25">
        <v>9.8092600000000001</v>
      </c>
      <c r="M25">
        <v>8.6223700000000001</v>
      </c>
      <c r="O25">
        <f t="shared" si="0"/>
        <v>16.309202999999997</v>
      </c>
      <c r="P25">
        <f t="shared" si="1"/>
        <v>1.6368588242497013</v>
      </c>
    </row>
    <row r="26" spans="1:16" x14ac:dyDescent="0.25">
      <c r="A26">
        <v>1.486</v>
      </c>
      <c r="B26">
        <v>27.8918</v>
      </c>
      <c r="C26">
        <v>21.9923</v>
      </c>
      <c r="D26">
        <v>18.1524</v>
      </c>
      <c r="E26">
        <v>14.068099999999999</v>
      </c>
      <c r="F26">
        <v>11.9038</v>
      </c>
      <c r="G26">
        <v>14.068099999999999</v>
      </c>
      <c r="H26">
        <v>11.275399999999999</v>
      </c>
      <c r="I26">
        <v>11.6594</v>
      </c>
      <c r="J26">
        <v>9.9488900000000005</v>
      </c>
      <c r="K26">
        <v>7.5751200000000001</v>
      </c>
      <c r="L26">
        <v>6.6325900000000004</v>
      </c>
      <c r="M26">
        <v>4.8522699999999999</v>
      </c>
      <c r="O26">
        <f t="shared" si="0"/>
        <v>11.013607000000002</v>
      </c>
      <c r="P26">
        <f t="shared" si="1"/>
        <v>1.187486618632015</v>
      </c>
    </row>
    <row r="27" spans="1:16" x14ac:dyDescent="0.25">
      <c r="A27">
        <v>1.5960000000000001</v>
      </c>
      <c r="B27">
        <v>18.326899999999998</v>
      </c>
      <c r="C27">
        <v>15.4993</v>
      </c>
      <c r="D27">
        <v>10.9612</v>
      </c>
      <c r="E27">
        <v>9.7045300000000001</v>
      </c>
      <c r="F27">
        <v>7.1911300000000002</v>
      </c>
      <c r="G27">
        <v>8.7969200000000001</v>
      </c>
      <c r="H27">
        <v>6.9816799999999999</v>
      </c>
      <c r="I27">
        <v>6.7722300000000004</v>
      </c>
      <c r="J27">
        <v>5.7947899999999999</v>
      </c>
      <c r="K27">
        <v>4.6777199999999999</v>
      </c>
      <c r="L27">
        <v>3.0370300000000001</v>
      </c>
      <c r="M27">
        <v>3.0719400000000001</v>
      </c>
      <c r="O27">
        <f t="shared" si="0"/>
        <v>6.6989169999999998</v>
      </c>
      <c r="P27">
        <f t="shared" si="1"/>
        <v>0.79622262789756315</v>
      </c>
    </row>
    <row r="28" spans="1:16" x14ac:dyDescent="0.25">
      <c r="A28">
        <v>1.7150000000000001</v>
      </c>
      <c r="B28">
        <v>13.160500000000001</v>
      </c>
      <c r="C28">
        <v>9.9139800000000005</v>
      </c>
      <c r="D28">
        <v>7.6100300000000001</v>
      </c>
      <c r="E28">
        <v>6.2136899999999997</v>
      </c>
      <c r="F28">
        <v>4.0144700000000002</v>
      </c>
      <c r="G28">
        <v>5.7598799999999999</v>
      </c>
      <c r="H28">
        <v>5.4457100000000001</v>
      </c>
      <c r="I28">
        <v>4.5380900000000004</v>
      </c>
      <c r="J28">
        <v>3.8050099999999998</v>
      </c>
      <c r="K28">
        <v>2.4435899999999999</v>
      </c>
      <c r="L28">
        <v>2.3388599999999999</v>
      </c>
      <c r="M28">
        <v>1.8501399999999999</v>
      </c>
      <c r="O28">
        <f t="shared" si="0"/>
        <v>4.4019469999999998</v>
      </c>
      <c r="P28">
        <f t="shared" si="1"/>
        <v>0.56245754207593324</v>
      </c>
    </row>
    <row r="29" spans="1:16" x14ac:dyDescent="0.25">
      <c r="A29">
        <v>1.843</v>
      </c>
      <c r="B29">
        <v>8.1685599999999994</v>
      </c>
      <c r="C29">
        <v>5.3060799999999997</v>
      </c>
      <c r="D29">
        <v>4.7126299999999999</v>
      </c>
      <c r="E29">
        <v>3.5955599999999999</v>
      </c>
      <c r="F29">
        <v>2.3737699999999999</v>
      </c>
      <c r="G29">
        <v>2.8275800000000002</v>
      </c>
      <c r="H29">
        <v>2.3039499999999999</v>
      </c>
      <c r="I29">
        <v>2.3737699999999999</v>
      </c>
      <c r="J29">
        <v>1.9897800000000001</v>
      </c>
      <c r="K29">
        <v>1.5010600000000001</v>
      </c>
      <c r="L29">
        <v>1.3963399999999999</v>
      </c>
      <c r="M29">
        <v>1.01234</v>
      </c>
      <c r="O29">
        <f t="shared" si="0"/>
        <v>2.4086779999999997</v>
      </c>
      <c r="P29">
        <f t="shared" si="1"/>
        <v>0.3298424120934117</v>
      </c>
    </row>
    <row r="30" spans="1:16" x14ac:dyDescent="0.25">
      <c r="A30">
        <v>1.9810000000000001</v>
      </c>
      <c r="B30">
        <v>4.7475399999999999</v>
      </c>
      <c r="C30">
        <v>3.1068500000000001</v>
      </c>
      <c r="D30">
        <v>2.8624900000000002</v>
      </c>
      <c r="E30">
        <v>2.19923</v>
      </c>
      <c r="F30">
        <v>1.3265199999999999</v>
      </c>
      <c r="G30">
        <v>1.2566999999999999</v>
      </c>
      <c r="H30">
        <v>1.4312400000000001</v>
      </c>
      <c r="I30">
        <v>1.2217899999999999</v>
      </c>
      <c r="J30">
        <v>0.80289299999999997</v>
      </c>
      <c r="K30">
        <v>1.15198</v>
      </c>
      <c r="L30">
        <v>0.73307599999999995</v>
      </c>
      <c r="M30">
        <v>0.55853399999999997</v>
      </c>
      <c r="O30">
        <f t="shared" si="0"/>
        <v>1.3544453000000001</v>
      </c>
      <c r="P30">
        <f t="shared" si="1"/>
        <v>0.20943890681915095</v>
      </c>
    </row>
    <row r="31" spans="1:16" x14ac:dyDescent="0.25">
      <c r="A31">
        <v>2.129</v>
      </c>
      <c r="B31">
        <v>3.17666</v>
      </c>
      <c r="C31">
        <v>1.81524</v>
      </c>
      <c r="D31">
        <v>1.3265199999999999</v>
      </c>
      <c r="E31">
        <v>1.18689</v>
      </c>
      <c r="F31">
        <v>0.62835099999999999</v>
      </c>
      <c r="G31">
        <v>0.87270999999999999</v>
      </c>
      <c r="H31">
        <v>0.942527</v>
      </c>
      <c r="I31">
        <v>0.942527</v>
      </c>
      <c r="J31">
        <v>0.942527</v>
      </c>
      <c r="K31">
        <v>0.59344300000000005</v>
      </c>
      <c r="L31">
        <v>0.55853399999999997</v>
      </c>
      <c r="M31">
        <v>0.52362600000000004</v>
      </c>
      <c r="O31">
        <f t="shared" si="0"/>
        <v>0.85176549999999995</v>
      </c>
      <c r="P31">
        <f t="shared" si="1"/>
        <v>8.2046126317242979E-2</v>
      </c>
    </row>
    <row r="32" spans="1:16" x14ac:dyDescent="0.25">
      <c r="A32">
        <v>2.2879999999999998</v>
      </c>
      <c r="B32">
        <v>1.5708800000000001</v>
      </c>
      <c r="C32">
        <v>0.97743500000000005</v>
      </c>
      <c r="D32">
        <v>0.83780100000000002</v>
      </c>
      <c r="E32">
        <v>0.73307599999999995</v>
      </c>
      <c r="F32">
        <v>0.59344300000000005</v>
      </c>
      <c r="G32">
        <v>0.52362600000000004</v>
      </c>
      <c r="H32">
        <v>0.59344300000000005</v>
      </c>
      <c r="I32">
        <v>0.41890100000000002</v>
      </c>
      <c r="J32">
        <v>0.55853399999999997</v>
      </c>
      <c r="K32">
        <v>0.48871799999999999</v>
      </c>
      <c r="L32">
        <v>0.31417600000000001</v>
      </c>
      <c r="M32">
        <v>0.27926699999999999</v>
      </c>
      <c r="O32">
        <f t="shared" si="0"/>
        <v>0.53409850000000003</v>
      </c>
      <c r="P32">
        <f t="shared" si="1"/>
        <v>5.1789227979812474E-2</v>
      </c>
    </row>
    <row r="33" spans="1:16" x14ac:dyDescent="0.25">
      <c r="A33">
        <v>2.4580000000000002</v>
      </c>
      <c r="B33">
        <v>1.01234</v>
      </c>
      <c r="C33">
        <v>0.34908400000000001</v>
      </c>
      <c r="D33">
        <v>0.34908400000000001</v>
      </c>
      <c r="E33">
        <v>0.383992</v>
      </c>
      <c r="F33">
        <v>0.24435899999999999</v>
      </c>
      <c r="G33">
        <v>0.31417600000000001</v>
      </c>
      <c r="H33">
        <v>0.104725</v>
      </c>
      <c r="I33">
        <v>0.20945</v>
      </c>
      <c r="J33">
        <v>0.24435899999999999</v>
      </c>
      <c r="K33">
        <v>0.31417600000000001</v>
      </c>
      <c r="L33">
        <v>0.31417600000000001</v>
      </c>
      <c r="M33">
        <v>0.24435899999999999</v>
      </c>
      <c r="O33">
        <f t="shared" si="0"/>
        <v>0.27228560000000002</v>
      </c>
      <c r="P33">
        <f t="shared" si="1"/>
        <v>2.4084285985347356E-2</v>
      </c>
    </row>
    <row r="34" spans="1:16" x14ac:dyDescent="0.25">
      <c r="A34">
        <v>2.6419999999999999</v>
      </c>
      <c r="B34">
        <v>0.48871799999999999</v>
      </c>
      <c r="C34">
        <v>0.34908400000000001</v>
      </c>
      <c r="D34">
        <v>0.174542</v>
      </c>
      <c r="E34">
        <v>0.174542</v>
      </c>
      <c r="F34">
        <v>6.9816799999999998E-2</v>
      </c>
      <c r="G34">
        <v>0.20945</v>
      </c>
      <c r="H34">
        <v>0.104725</v>
      </c>
      <c r="I34">
        <v>0.174542</v>
      </c>
      <c r="J34">
        <v>0.13963400000000001</v>
      </c>
      <c r="K34">
        <v>0.104725</v>
      </c>
      <c r="L34">
        <v>0.13963400000000001</v>
      </c>
      <c r="M34">
        <v>0.13963400000000001</v>
      </c>
      <c r="O34">
        <f t="shared" si="0"/>
        <v>0.14312448</v>
      </c>
      <c r="P34">
        <f t="shared" si="1"/>
        <v>1.2537887668796537E-2</v>
      </c>
    </row>
    <row r="35" spans="1:16" x14ac:dyDescent="0.25">
      <c r="A35">
        <v>2.839</v>
      </c>
      <c r="B35">
        <v>0.104725</v>
      </c>
      <c r="C35">
        <v>0.13963400000000001</v>
      </c>
      <c r="D35">
        <v>0.20945</v>
      </c>
      <c r="E35">
        <v>6.9816799999999998E-2</v>
      </c>
      <c r="F35">
        <v>0</v>
      </c>
      <c r="G35">
        <v>3.4908399999999999E-2</v>
      </c>
      <c r="H35">
        <v>6.9816799999999998E-2</v>
      </c>
      <c r="I35">
        <v>3.4908399999999999E-2</v>
      </c>
      <c r="J35">
        <v>0</v>
      </c>
      <c r="K35">
        <v>0.104725</v>
      </c>
      <c r="L35">
        <v>0.104725</v>
      </c>
      <c r="M35">
        <v>0.104725</v>
      </c>
      <c r="O35">
        <f t="shared" si="0"/>
        <v>7.330753999999999E-2</v>
      </c>
      <c r="P35">
        <f t="shared" si="1"/>
        <v>1.8766270026855096E-2</v>
      </c>
    </row>
    <row r="36" spans="1:16" x14ac:dyDescent="0.25">
      <c r="A36">
        <v>3.0510000000000002</v>
      </c>
      <c r="B36">
        <v>0</v>
      </c>
      <c r="C36">
        <v>3.4908399999999999E-2</v>
      </c>
      <c r="D36">
        <v>3.4908399999999999E-2</v>
      </c>
      <c r="E36">
        <v>0</v>
      </c>
      <c r="F36">
        <v>0</v>
      </c>
      <c r="G36">
        <v>6.9816799999999998E-2</v>
      </c>
      <c r="H36">
        <v>3.4908399999999999E-2</v>
      </c>
      <c r="I36">
        <v>3.4908399999999999E-2</v>
      </c>
      <c r="J36">
        <v>6.9816799999999998E-2</v>
      </c>
      <c r="K36">
        <v>0</v>
      </c>
      <c r="L36">
        <v>0</v>
      </c>
      <c r="M36">
        <v>3.4908399999999999E-2</v>
      </c>
      <c r="O36">
        <f t="shared" si="0"/>
        <v>2.7926719999999999E-2</v>
      </c>
      <c r="P36">
        <f t="shared" si="1"/>
        <v>8.2608351800141852E-3</v>
      </c>
    </row>
    <row r="37" spans="1:16" x14ac:dyDescent="0.25">
      <c r="A37">
        <v>3.278</v>
      </c>
      <c r="B37">
        <v>0</v>
      </c>
      <c r="C37">
        <v>6.9816799999999998E-2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O37">
        <f t="shared" si="0"/>
        <v>0</v>
      </c>
      <c r="P37">
        <f t="shared" si="1"/>
        <v>0</v>
      </c>
    </row>
    <row r="38" spans="1:16" x14ac:dyDescent="0.25">
      <c r="A38">
        <v>3.5230000000000001</v>
      </c>
      <c r="B38">
        <v>0</v>
      </c>
      <c r="C38">
        <v>3.4908399999999999E-2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3.4908399999999999E-2</v>
      </c>
      <c r="O38">
        <f t="shared" si="0"/>
        <v>3.4908399999999998E-3</v>
      </c>
      <c r="P38">
        <f t="shared" si="1"/>
        <v>3.3117016041666553E-3</v>
      </c>
    </row>
    <row r="39" spans="1:16" x14ac:dyDescent="0.25">
      <c r="A39">
        <v>3.786</v>
      </c>
      <c r="B39">
        <v>0</v>
      </c>
      <c r="C39">
        <v>0</v>
      </c>
      <c r="D39">
        <v>0</v>
      </c>
      <c r="E39">
        <v>3.4908399999999999E-2</v>
      </c>
      <c r="F39">
        <v>0</v>
      </c>
      <c r="G39">
        <v>3.4908399999999999E-2</v>
      </c>
      <c r="H39">
        <v>0</v>
      </c>
      <c r="I39">
        <v>0</v>
      </c>
      <c r="J39">
        <v>0</v>
      </c>
      <c r="K39">
        <v>0</v>
      </c>
      <c r="L39">
        <v>3.4908399999999999E-2</v>
      </c>
      <c r="M39">
        <v>3.4908399999999999E-2</v>
      </c>
      <c r="O39">
        <f t="shared" si="0"/>
        <v>1.3963359999999999E-2</v>
      </c>
      <c r="P39">
        <f t="shared" si="1"/>
        <v>5.4079860737098794E-3</v>
      </c>
    </row>
    <row r="40" spans="1:16" x14ac:dyDescent="0.25">
      <c r="A40">
        <v>4.0679999999999996</v>
      </c>
      <c r="B40">
        <v>3.4908399999999999E-2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O40">
        <f t="shared" si="0"/>
        <v>0</v>
      </c>
      <c r="P40">
        <f t="shared" si="1"/>
        <v>0</v>
      </c>
    </row>
    <row r="41" spans="1:16" x14ac:dyDescent="0.25">
      <c r="A41">
        <v>4.3710000000000004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O41">
        <f t="shared" si="0"/>
        <v>0</v>
      </c>
      <c r="P41">
        <f t="shared" si="1"/>
        <v>0</v>
      </c>
    </row>
    <row r="42" spans="1:16" x14ac:dyDescent="0.25">
      <c r="A42">
        <v>4.6980000000000004</v>
      </c>
      <c r="B42">
        <v>3.4908399999999999E-2</v>
      </c>
      <c r="C42">
        <v>0</v>
      </c>
      <c r="D42">
        <v>0</v>
      </c>
      <c r="E42">
        <v>3.4908399999999999E-2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O42">
        <f t="shared" si="0"/>
        <v>3.4908399999999998E-3</v>
      </c>
      <c r="P42">
        <f t="shared" si="1"/>
        <v>3.3117016041666553E-3</v>
      </c>
    </row>
    <row r="43" spans="1:16" x14ac:dyDescent="0.25">
      <c r="A43">
        <v>5.048</v>
      </c>
      <c r="B43">
        <v>3.4908399999999999E-2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O43">
        <f t="shared" si="0"/>
        <v>0</v>
      </c>
      <c r="P43">
        <f t="shared" si="1"/>
        <v>0</v>
      </c>
    </row>
    <row r="44" spans="1:16" x14ac:dyDescent="0.25">
      <c r="A44">
        <v>5.4249999999999998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O44">
        <f t="shared" si="0"/>
        <v>0</v>
      </c>
      <c r="P44">
        <f t="shared" si="1"/>
        <v>0</v>
      </c>
    </row>
    <row r="45" spans="1:16" x14ac:dyDescent="0.25">
      <c r="A45">
        <v>5.8289999999999997</v>
      </c>
      <c r="B45">
        <v>3.4908399999999999E-2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O45">
        <f t="shared" si="0"/>
        <v>0</v>
      </c>
      <c r="P45">
        <f t="shared" si="1"/>
        <v>0</v>
      </c>
    </row>
    <row r="46" spans="1:16" x14ac:dyDescent="0.25">
      <c r="A46">
        <v>6.2640000000000002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O46">
        <f t="shared" si="0"/>
        <v>0</v>
      </c>
      <c r="P46">
        <f t="shared" si="1"/>
        <v>0</v>
      </c>
    </row>
    <row r="47" spans="1:16" x14ac:dyDescent="0.25">
      <c r="A47">
        <v>6.7320000000000002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f t="shared" si="0"/>
        <v>0</v>
      </c>
      <c r="P47">
        <f t="shared" si="1"/>
        <v>0</v>
      </c>
    </row>
    <row r="48" spans="1:16" x14ac:dyDescent="0.25">
      <c r="A48">
        <v>7.234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O48">
        <f t="shared" si="0"/>
        <v>0</v>
      </c>
      <c r="P48">
        <f t="shared" si="1"/>
        <v>0</v>
      </c>
    </row>
    <row r="49" spans="1:18" x14ac:dyDescent="0.25">
      <c r="A49">
        <v>7.774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O49">
        <f t="shared" si="0"/>
        <v>0</v>
      </c>
      <c r="P49">
        <f t="shared" si="1"/>
        <v>0</v>
      </c>
    </row>
    <row r="50" spans="1:18" x14ac:dyDescent="0.25">
      <c r="A50">
        <v>8.3539999999999992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O50">
        <f t="shared" si="0"/>
        <v>0</v>
      </c>
      <c r="P50">
        <f t="shared" si="1"/>
        <v>0</v>
      </c>
    </row>
    <row r="51" spans="1:18" x14ac:dyDescent="0.25">
      <c r="A51">
        <v>8.9770000000000003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O51">
        <f t="shared" si="0"/>
        <v>0</v>
      </c>
      <c r="P51">
        <f t="shared" si="1"/>
        <v>0</v>
      </c>
    </row>
    <row r="52" spans="1:18" x14ac:dyDescent="0.25">
      <c r="A52">
        <v>9.6470000000000002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O52">
        <f t="shared" si="0"/>
        <v>0</v>
      </c>
      <c r="P52">
        <f t="shared" si="1"/>
        <v>0</v>
      </c>
    </row>
    <row r="53" spans="1:18" x14ac:dyDescent="0.25">
      <c r="A53">
        <v>10.37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O53">
        <f t="shared" si="0"/>
        <v>0</v>
      </c>
      <c r="P53">
        <f t="shared" si="1"/>
        <v>0</v>
      </c>
    </row>
    <row r="54" spans="1:18" x14ac:dyDescent="0.25">
      <c r="A54">
        <v>11.14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O54">
        <f t="shared" si="0"/>
        <v>0</v>
      </c>
      <c r="P54">
        <f t="shared" si="1"/>
        <v>0</v>
      </c>
    </row>
    <row r="55" spans="1:18" x14ac:dyDescent="0.25">
      <c r="A55">
        <v>11.97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O55">
        <f t="shared" si="0"/>
        <v>0</v>
      </c>
      <c r="P55">
        <f t="shared" si="1"/>
        <v>0</v>
      </c>
    </row>
    <row r="56" spans="1:18" x14ac:dyDescent="0.25">
      <c r="A56">
        <v>12.86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O56">
        <f t="shared" si="0"/>
        <v>0</v>
      </c>
      <c r="P56">
        <f t="shared" si="1"/>
        <v>0</v>
      </c>
    </row>
    <row r="57" spans="1:18" x14ac:dyDescent="0.25">
      <c r="A57">
        <v>13.82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O57">
        <f t="shared" si="0"/>
        <v>0</v>
      </c>
      <c r="P57">
        <f t="shared" si="1"/>
        <v>0</v>
      </c>
    </row>
    <row r="58" spans="1:18" x14ac:dyDescent="0.25">
      <c r="A58">
        <v>14.86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O58">
        <f t="shared" si="0"/>
        <v>0</v>
      </c>
      <c r="P58">
        <f t="shared" si="1"/>
        <v>0</v>
      </c>
    </row>
    <row r="59" spans="1:18" x14ac:dyDescent="0.25">
      <c r="A59">
        <v>15.96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O59">
        <f t="shared" si="0"/>
        <v>0</v>
      </c>
      <c r="P59">
        <f t="shared" si="1"/>
        <v>0</v>
      </c>
    </row>
    <row r="60" spans="1:18" x14ac:dyDescent="0.25">
      <c r="A60">
        <v>17.149999999999999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O60">
        <f t="shared" si="0"/>
        <v>0</v>
      </c>
      <c r="P60">
        <f t="shared" si="1"/>
        <v>0</v>
      </c>
    </row>
    <row r="61" spans="1:18" x14ac:dyDescent="0.25">
      <c r="A61">
        <v>18.43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O61">
        <f t="shared" si="0"/>
        <v>0</v>
      </c>
      <c r="P61">
        <f t="shared" si="1"/>
        <v>0</v>
      </c>
    </row>
    <row r="62" spans="1:18" x14ac:dyDescent="0.25">
      <c r="A62">
        <v>19.809999999999999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O62">
        <f t="shared" si="0"/>
        <v>0</v>
      </c>
      <c r="P62">
        <f t="shared" si="1"/>
        <v>0</v>
      </c>
    </row>
    <row r="63" spans="1:18" s="4" customFormat="1" ht="60" x14ac:dyDescent="0.25">
      <c r="A63" s="3" t="s">
        <v>41</v>
      </c>
      <c r="B63" s="4">
        <f>SUM(B21:B52)</f>
        <v>525.37095659999977</v>
      </c>
      <c r="C63" s="4">
        <f t="shared" ref="C63:M63" si="2">SUM(C21:C52)</f>
        <v>409.05642060000008</v>
      </c>
      <c r="D63" s="4">
        <f t="shared" si="2"/>
        <v>342.27675539999996</v>
      </c>
      <c r="E63" s="4">
        <f t="shared" si="2"/>
        <v>286.94694359999994</v>
      </c>
      <c r="F63" s="4">
        <f t="shared" si="2"/>
        <v>230.60485979999999</v>
      </c>
      <c r="G63" s="4">
        <f t="shared" si="2"/>
        <v>269.84187559999998</v>
      </c>
      <c r="H63" s="4">
        <f t="shared" si="2"/>
        <v>243.24172520000002</v>
      </c>
      <c r="I63" s="4">
        <f t="shared" si="2"/>
        <v>225.92711680000011</v>
      </c>
      <c r="J63" s="4">
        <f t="shared" si="2"/>
        <v>213.70913380000007</v>
      </c>
      <c r="K63" s="4">
        <f t="shared" si="2"/>
        <v>161.10225700000001</v>
      </c>
      <c r="L63" s="4">
        <f t="shared" si="2"/>
        <v>134.39730940000004</v>
      </c>
      <c r="M63" s="4">
        <f t="shared" si="2"/>
        <v>127.55533020000001</v>
      </c>
      <c r="O63" s="3" t="s">
        <v>44</v>
      </c>
      <c r="P63" s="4">
        <f>AVERAGE(D63:M63)</f>
        <v>223.56033067999996</v>
      </c>
      <c r="Q63" s="3" t="s">
        <v>45</v>
      </c>
      <c r="R63" s="4">
        <f>_xlfn.STDEV.P(D63:M63)/SQRT(10)</f>
        <v>20.459980323057785</v>
      </c>
    </row>
    <row r="64" spans="1:18" x14ac:dyDescent="0.25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O64" s="3"/>
    </row>
    <row r="65" spans="1:15" x14ac:dyDescent="0.25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O65" s="3"/>
    </row>
    <row r="66" spans="1:15" x14ac:dyDescent="0.25">
      <c r="A66" t="s">
        <v>13</v>
      </c>
      <c r="B66">
        <v>129881</v>
      </c>
      <c r="C66">
        <v>108291</v>
      </c>
      <c r="D66">
        <v>99427</v>
      </c>
      <c r="E66">
        <v>93755</v>
      </c>
      <c r="F66">
        <v>90873</v>
      </c>
      <c r="G66">
        <v>97625</v>
      </c>
      <c r="H66">
        <v>92298</v>
      </c>
      <c r="I66">
        <v>91169</v>
      </c>
      <c r="J66">
        <v>94454</v>
      </c>
      <c r="K66">
        <v>88201</v>
      </c>
      <c r="L66">
        <v>83096</v>
      </c>
      <c r="M66">
        <v>83775</v>
      </c>
    </row>
    <row r="67" spans="1:15" x14ac:dyDescent="0.25">
      <c r="A67" t="s">
        <v>14</v>
      </c>
      <c r="B67">
        <v>4342</v>
      </c>
      <c r="C67">
        <v>2750</v>
      </c>
      <c r="D67">
        <v>2151</v>
      </c>
      <c r="E67">
        <v>2018</v>
      </c>
      <c r="F67">
        <v>1675</v>
      </c>
      <c r="G67">
        <v>1946</v>
      </c>
      <c r="H67">
        <v>1835</v>
      </c>
      <c r="I67">
        <v>1716</v>
      </c>
      <c r="J67">
        <v>1757</v>
      </c>
      <c r="K67">
        <v>1462</v>
      </c>
      <c r="L67">
        <v>1274</v>
      </c>
      <c r="M67">
        <v>1279</v>
      </c>
    </row>
    <row r="68" spans="1:15" x14ac:dyDescent="0.25">
      <c r="A68" t="s">
        <v>15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5" x14ac:dyDescent="0.25">
      <c r="A69" t="s">
        <v>16</v>
      </c>
      <c r="B69">
        <v>967</v>
      </c>
      <c r="C69">
        <v>781</v>
      </c>
      <c r="D69">
        <v>700</v>
      </c>
      <c r="E69">
        <v>645</v>
      </c>
      <c r="F69">
        <v>605</v>
      </c>
      <c r="G69">
        <v>665</v>
      </c>
      <c r="H69">
        <v>614</v>
      </c>
      <c r="I69">
        <v>612</v>
      </c>
      <c r="J69">
        <v>628</v>
      </c>
      <c r="K69">
        <v>558</v>
      </c>
      <c r="L69">
        <v>514</v>
      </c>
      <c r="M69">
        <v>511</v>
      </c>
    </row>
    <row r="70" spans="1:15" x14ac:dyDescent="0.25">
      <c r="A70" t="s">
        <v>17</v>
      </c>
      <c r="B70">
        <v>979.6</v>
      </c>
      <c r="C70">
        <v>979.3</v>
      </c>
      <c r="D70">
        <v>979.6</v>
      </c>
      <c r="E70">
        <v>979.1</v>
      </c>
      <c r="F70">
        <v>979.6</v>
      </c>
      <c r="G70">
        <v>979.1</v>
      </c>
      <c r="H70">
        <v>979.6</v>
      </c>
      <c r="I70">
        <v>978.8</v>
      </c>
      <c r="J70">
        <v>978.1</v>
      </c>
      <c r="K70">
        <v>977.9</v>
      </c>
      <c r="L70">
        <v>977.9</v>
      </c>
      <c r="M70">
        <v>978.5</v>
      </c>
    </row>
    <row r="71" spans="1:15" x14ac:dyDescent="0.25">
      <c r="A71" t="s">
        <v>18</v>
      </c>
      <c r="B71">
        <v>4.6900000000000004</v>
      </c>
      <c r="C71">
        <v>4.7</v>
      </c>
      <c r="D71">
        <v>4.72</v>
      </c>
      <c r="E71">
        <v>4.71</v>
      </c>
      <c r="F71">
        <v>4.72</v>
      </c>
      <c r="G71">
        <v>4.7300000000000004</v>
      </c>
      <c r="H71">
        <v>4.75</v>
      </c>
      <c r="I71">
        <v>4.76</v>
      </c>
      <c r="J71">
        <v>4.75</v>
      </c>
      <c r="K71">
        <v>4.7699999999999996</v>
      </c>
      <c r="L71">
        <v>4.79</v>
      </c>
      <c r="M71">
        <v>4.8</v>
      </c>
    </row>
    <row r="72" spans="1:15" x14ac:dyDescent="0.25">
      <c r="A72" t="s">
        <v>19</v>
      </c>
      <c r="B72">
        <v>4</v>
      </c>
      <c r="C72">
        <v>3.99</v>
      </c>
      <c r="D72">
        <v>3.99</v>
      </c>
      <c r="E72">
        <v>3.94</v>
      </c>
      <c r="F72">
        <v>3.99</v>
      </c>
      <c r="G72">
        <v>3.98</v>
      </c>
      <c r="H72">
        <v>4</v>
      </c>
      <c r="I72">
        <v>4</v>
      </c>
      <c r="J72">
        <v>3.97</v>
      </c>
      <c r="K72">
        <v>4.01</v>
      </c>
      <c r="L72">
        <v>3.97</v>
      </c>
      <c r="M72">
        <v>4</v>
      </c>
    </row>
    <row r="73" spans="1:15" x14ac:dyDescent="0.25">
      <c r="A73" t="s">
        <v>20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5" x14ac:dyDescent="0.25">
      <c r="A74" t="s">
        <v>21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5" x14ac:dyDescent="0.25">
      <c r="A75" t="s">
        <v>22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5" x14ac:dyDescent="0.25">
      <c r="A76" t="s">
        <v>23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5" x14ac:dyDescent="0.25">
      <c r="A77" t="s">
        <v>24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5" x14ac:dyDescent="0.25">
      <c r="A78" t="s">
        <v>25</v>
      </c>
      <c r="B78">
        <v>75</v>
      </c>
      <c r="C78">
        <v>75</v>
      </c>
      <c r="D78">
        <v>75</v>
      </c>
      <c r="E78">
        <v>75</v>
      </c>
      <c r="F78">
        <v>75</v>
      </c>
      <c r="G78">
        <v>75</v>
      </c>
      <c r="H78">
        <v>75</v>
      </c>
      <c r="I78">
        <v>75</v>
      </c>
      <c r="J78">
        <v>75</v>
      </c>
      <c r="K78">
        <v>75</v>
      </c>
      <c r="L78">
        <v>75</v>
      </c>
      <c r="M78">
        <v>75</v>
      </c>
    </row>
    <row r="79" spans="1:15" x14ac:dyDescent="0.25">
      <c r="A79" t="s">
        <v>26</v>
      </c>
      <c r="B79">
        <v>55.9</v>
      </c>
      <c r="C79">
        <v>55.9</v>
      </c>
      <c r="D79">
        <v>55.9</v>
      </c>
      <c r="E79">
        <v>56</v>
      </c>
      <c r="F79">
        <v>56</v>
      </c>
      <c r="G79">
        <v>56</v>
      </c>
      <c r="H79">
        <v>56.1</v>
      </c>
      <c r="I79">
        <v>56.1</v>
      </c>
      <c r="J79">
        <v>56.1</v>
      </c>
      <c r="K79">
        <v>56.2</v>
      </c>
      <c r="L79">
        <v>56.2</v>
      </c>
      <c r="M79">
        <v>56.2</v>
      </c>
    </row>
    <row r="80" spans="1:15" x14ac:dyDescent="0.25">
      <c r="A80" t="s">
        <v>27</v>
      </c>
      <c r="B80">
        <v>2.4209999999999998</v>
      </c>
      <c r="C80">
        <v>2.423</v>
      </c>
      <c r="D80">
        <v>2.4239999999999999</v>
      </c>
      <c r="E80">
        <v>2.4260000000000002</v>
      </c>
      <c r="F80">
        <v>2.423</v>
      </c>
      <c r="G80">
        <v>2.4249999999999998</v>
      </c>
      <c r="H80">
        <v>2.4220000000000002</v>
      </c>
      <c r="I80">
        <v>2.4249999999999998</v>
      </c>
      <c r="J80">
        <v>2.4220000000000002</v>
      </c>
      <c r="K80">
        <v>2.4220000000000002</v>
      </c>
      <c r="L80">
        <v>2.4220000000000002</v>
      </c>
      <c r="M80">
        <v>2.4220000000000002</v>
      </c>
    </row>
    <row r="81" spans="1:13" x14ac:dyDescent="0.25">
      <c r="A81" t="s">
        <v>28</v>
      </c>
      <c r="B81">
        <v>4.99</v>
      </c>
      <c r="C81">
        <v>4.99</v>
      </c>
      <c r="D81">
        <v>4.99</v>
      </c>
      <c r="E81">
        <v>4.99</v>
      </c>
      <c r="F81">
        <v>4.99</v>
      </c>
      <c r="G81">
        <v>4.99</v>
      </c>
      <c r="H81">
        <v>4.99</v>
      </c>
      <c r="I81">
        <v>4.99</v>
      </c>
      <c r="J81">
        <v>4.99</v>
      </c>
      <c r="K81">
        <v>4.99</v>
      </c>
      <c r="L81">
        <v>4.99</v>
      </c>
      <c r="M81">
        <v>4.99</v>
      </c>
    </row>
    <row r="82" spans="1:13" x14ac:dyDescent="0.25">
      <c r="A82" t="s">
        <v>29</v>
      </c>
      <c r="B82">
        <v>27.5</v>
      </c>
      <c r="C82">
        <v>27.5</v>
      </c>
      <c r="D82">
        <v>28</v>
      </c>
      <c r="E82">
        <v>27.5</v>
      </c>
      <c r="F82">
        <v>27.5</v>
      </c>
      <c r="G82">
        <v>27.5</v>
      </c>
      <c r="H82">
        <v>27.5</v>
      </c>
      <c r="I82">
        <v>27.5</v>
      </c>
      <c r="J82">
        <v>27.5</v>
      </c>
      <c r="K82">
        <v>27.5</v>
      </c>
      <c r="L82">
        <v>27.8</v>
      </c>
      <c r="M82">
        <v>27.5</v>
      </c>
    </row>
    <row r="83" spans="1:13" x14ac:dyDescent="0.25">
      <c r="A83" t="s">
        <v>30</v>
      </c>
      <c r="B83">
        <v>28</v>
      </c>
      <c r="C83">
        <v>28</v>
      </c>
      <c r="D83">
        <v>28.5</v>
      </c>
      <c r="E83">
        <v>28.5</v>
      </c>
      <c r="F83">
        <v>28.5</v>
      </c>
      <c r="G83">
        <v>28.5</v>
      </c>
      <c r="H83">
        <v>28.5</v>
      </c>
      <c r="I83">
        <v>28.5</v>
      </c>
      <c r="J83">
        <v>28.5</v>
      </c>
      <c r="K83">
        <v>28.5</v>
      </c>
      <c r="L83">
        <v>28.5</v>
      </c>
      <c r="M83">
        <v>28.5</v>
      </c>
    </row>
    <row r="84" spans="1:13" x14ac:dyDescent="0.25">
      <c r="A84" t="s">
        <v>31</v>
      </c>
      <c r="B84">
        <v>234</v>
      </c>
      <c r="C84">
        <v>234</v>
      </c>
      <c r="D84">
        <v>234</v>
      </c>
      <c r="E84">
        <v>234</v>
      </c>
      <c r="F84">
        <v>234</v>
      </c>
      <c r="G84">
        <v>234</v>
      </c>
      <c r="H84">
        <v>234</v>
      </c>
      <c r="I84">
        <v>234</v>
      </c>
      <c r="J84">
        <v>234</v>
      </c>
      <c r="K84">
        <v>234</v>
      </c>
      <c r="L84">
        <v>234</v>
      </c>
      <c r="M84">
        <v>234</v>
      </c>
    </row>
    <row r="85" spans="1:13" x14ac:dyDescent="0.25">
      <c r="A85" t="s">
        <v>32</v>
      </c>
      <c r="B85" t="s">
        <v>33</v>
      </c>
      <c r="C85" t="s">
        <v>34</v>
      </c>
      <c r="D85" t="s">
        <v>34</v>
      </c>
      <c r="E85" t="s">
        <v>34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</row>
    <row r="86" spans="1:13" x14ac:dyDescent="0.25">
      <c r="A86" t="s">
        <v>35</v>
      </c>
      <c r="B86">
        <v>0.68137800000000004</v>
      </c>
      <c r="C86">
        <v>0.67951300000000003</v>
      </c>
      <c r="D86">
        <v>0.67856700000000003</v>
      </c>
      <c r="E86">
        <v>0.67244400000000004</v>
      </c>
      <c r="F86">
        <v>0.66919099999999998</v>
      </c>
      <c r="G86">
        <v>0.67595899999999998</v>
      </c>
      <c r="H86">
        <v>0.67403599999999997</v>
      </c>
      <c r="I86">
        <v>0.67358399999999996</v>
      </c>
      <c r="J86">
        <v>0.67258099999999998</v>
      </c>
      <c r="K86">
        <v>0.66797899999999999</v>
      </c>
      <c r="L86">
        <v>0.66459800000000002</v>
      </c>
      <c r="M86">
        <v>0.66516900000000001</v>
      </c>
    </row>
    <row r="87" spans="1:13" x14ac:dyDescent="0.25">
      <c r="A87" t="s">
        <v>36</v>
      </c>
      <c r="B87">
        <v>0.74201700000000004</v>
      </c>
      <c r="C87">
        <v>0.73975299999999999</v>
      </c>
      <c r="D87">
        <v>0.73709800000000003</v>
      </c>
      <c r="E87">
        <v>0.73117500000000002</v>
      </c>
      <c r="F87">
        <v>0.72382599999999997</v>
      </c>
      <c r="G87">
        <v>0.73157499999999998</v>
      </c>
      <c r="H87">
        <v>0.731263</v>
      </c>
      <c r="I87">
        <v>0.72886499999999999</v>
      </c>
      <c r="J87">
        <v>0.72656699999999996</v>
      </c>
      <c r="K87">
        <v>0.72106999999999999</v>
      </c>
      <c r="L87">
        <v>0.71716599999999997</v>
      </c>
      <c r="M87">
        <v>0.71659300000000004</v>
      </c>
    </row>
    <row r="88" spans="1:13" x14ac:dyDescent="0.25">
      <c r="A88" t="s">
        <v>37</v>
      </c>
      <c r="B88">
        <v>0.71735899999999997</v>
      </c>
      <c r="C88">
        <v>0.71567499999999995</v>
      </c>
      <c r="D88">
        <v>0.71357400000000004</v>
      </c>
      <c r="E88">
        <v>0.70837499999999998</v>
      </c>
      <c r="F88">
        <v>0.70274599999999998</v>
      </c>
      <c r="G88">
        <v>0.70926900000000004</v>
      </c>
      <c r="H88">
        <v>0.70881799999999995</v>
      </c>
      <c r="I88">
        <v>0.70690699999999995</v>
      </c>
      <c r="J88">
        <v>0.70518999999999998</v>
      </c>
      <c r="K88">
        <v>0.70034799999999997</v>
      </c>
      <c r="L88">
        <v>0.696959</v>
      </c>
      <c r="M88">
        <v>0.69667800000000002</v>
      </c>
    </row>
    <row r="89" spans="1:13" x14ac:dyDescent="0.25">
      <c r="A89" t="s">
        <v>38</v>
      </c>
      <c r="B89">
        <v>0.54246899999999998</v>
      </c>
      <c r="C89">
        <v>0.54246899999999998</v>
      </c>
      <c r="D89">
        <v>0.54246899999999998</v>
      </c>
      <c r="E89">
        <v>0.54246899999999998</v>
      </c>
      <c r="F89">
        <v>0.54246899999999998</v>
      </c>
      <c r="G89">
        <v>0.54246899999999998</v>
      </c>
      <c r="H89">
        <v>0.54246899999999998</v>
      </c>
      <c r="I89">
        <v>0.54246899999999998</v>
      </c>
      <c r="J89">
        <v>0.54246899999999998</v>
      </c>
      <c r="K89">
        <v>0.54246899999999998</v>
      </c>
      <c r="L89">
        <v>0.54246899999999998</v>
      </c>
      <c r="M89">
        <v>0.54246899999999998</v>
      </c>
    </row>
    <row r="90" spans="1:13" x14ac:dyDescent="0.25">
      <c r="A90" t="s">
        <v>39</v>
      </c>
      <c r="B90">
        <v>1.28112</v>
      </c>
      <c r="C90">
        <v>1.2784800000000001</v>
      </c>
      <c r="D90">
        <v>1.2755300000000001</v>
      </c>
      <c r="E90">
        <v>1.2715799999999999</v>
      </c>
      <c r="F90">
        <v>1.2619400000000001</v>
      </c>
      <c r="G90">
        <v>1.26892</v>
      </c>
      <c r="H90">
        <v>1.26986</v>
      </c>
      <c r="I90">
        <v>1.2670399999999999</v>
      </c>
      <c r="J90">
        <v>1.2636099999999999</v>
      </c>
      <c r="K90">
        <v>1.2596499999999999</v>
      </c>
      <c r="L90">
        <v>1.2564500000000001</v>
      </c>
      <c r="M90">
        <v>1.25481</v>
      </c>
    </row>
    <row r="91" spans="1:13" x14ac:dyDescent="0.25">
      <c r="A91" t="s">
        <v>40</v>
      </c>
      <c r="B91">
        <v>375.16199999999998</v>
      </c>
      <c r="C91">
        <v>306.94499999999999</v>
      </c>
      <c r="D91">
        <v>277.92200000000003</v>
      </c>
      <c r="E91">
        <v>257.47899999999998</v>
      </c>
      <c r="F91">
        <v>244.738</v>
      </c>
      <c r="G91">
        <v>266.72399999999999</v>
      </c>
      <c r="H91">
        <v>248.10499999999999</v>
      </c>
      <c r="I91">
        <v>247.39</v>
      </c>
      <c r="J91">
        <v>254.49100000000001</v>
      </c>
      <c r="K91">
        <v>229.50299999999999</v>
      </c>
      <c r="L91">
        <v>212.89599999999999</v>
      </c>
      <c r="M91">
        <v>212.53399999999999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2023-09-25T19:45:39Z</dcterms:created>
  <dcterms:modified xsi:type="dcterms:W3CDTF">2023-09-25T20:06:39Z</dcterms:modified>
</cp:coreProperties>
</file>